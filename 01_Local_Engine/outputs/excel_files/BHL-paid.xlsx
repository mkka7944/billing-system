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illing-Main\Billing Database\01_Local_Engine\outputs\excel_files\"/>
    </mc:Choice>
  </mc:AlternateContent>
  <xr:revisionPtr revIDLastSave="0" documentId="13_ncr:1_{5946FC85-F84D-4997-BC67-C7D9DC784EB2}" xr6:coauthVersionLast="47" xr6:coauthVersionMax="47" xr10:uidLastSave="{00000000-0000-0000-0000-000000000000}"/>
  <bookViews>
    <workbookView xWindow="-120" yWindow="-120" windowWidth="29040" windowHeight="15720" activeTab="1" xr2:uid="{29A79552-95CE-4025-A305-8C6415643A9A}"/>
  </bookViews>
  <sheets>
    <sheet name="Paid status" sheetId="2" r:id="rId1"/>
    <sheet name="Summary" sheetId="3" r:id="rId2"/>
    <sheet name="Sheet1" sheetId="1" r:id="rId3"/>
  </sheets>
  <externalReferences>
    <externalReference r:id="rId4"/>
    <externalReference r:id="rId5"/>
  </externalReferences>
  <definedNames>
    <definedName name="arealist">OFFSET([1]zones!$C$2,0,0,COUNTA([1]zones!$C:$C)-1,1)</definedName>
    <definedName name="hiredusers">OFFSET([2]Interviews!$B$3, 0, 0, SUMPRODUCT(--([2]Interviews!$D$3:$D$500="Hired")), 1)</definedName>
    <definedName name="US_List">_xlfn.UNIQUE(_xlfn._xlws.FILTER(TRIM(IFERROR(LEFT([1]List!$E$2:$E$1000, FIND(",", [1]List!$E$2:$E$1000)-1),[1]List!$E$2:$E$1000)),LEN([1]List!$E$2:$E$1000)&gt;0))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3" l="1" a="1"/>
  <c r="G3" i="3" s="1"/>
  <c r="D8" i="3" a="1"/>
  <c r="D8" i="3" s="1"/>
  <c r="D3" i="3" a="1"/>
  <c r="D3" i="3" s="1"/>
  <c r="A3" i="3" a="1"/>
  <c r="A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<sst xmlns="http://schemas.openxmlformats.org/spreadsheetml/2006/main" count="244" uniqueCount="75">
  <si>
    <t>Sr#</t>
  </si>
  <si>
    <t>PSID</t>
  </si>
  <si>
    <t>Month</t>
  </si>
  <si>
    <t>WMC</t>
  </si>
  <si>
    <t>Division</t>
  </si>
  <si>
    <t>District</t>
  </si>
  <si>
    <t>Tehsil</t>
  </si>
  <si>
    <t>Office</t>
  </si>
  <si>
    <t>UC</t>
  </si>
  <si>
    <t>Billing Category</t>
  </si>
  <si>
    <t>Amount</t>
  </si>
  <si>
    <t>Fine</t>
  </si>
  <si>
    <t>Bill PDF</t>
  </si>
  <si>
    <t>Channel</t>
  </si>
  <si>
    <t>Paid Date</t>
  </si>
  <si>
    <t>Paid Amount</t>
  </si>
  <si>
    <t>Status</t>
  </si>
  <si>
    <t>Active</t>
  </si>
  <si>
    <t>AMOUNT</t>
  </si>
  <si>
    <t>TOP 5 MC</t>
  </si>
  <si>
    <t>Bills Paid</t>
  </si>
  <si>
    <t>Total Amount</t>
  </si>
  <si>
    <t>Sargodha Waste Management Company (SGWMC)</t>
  </si>
  <si>
    <t>Sargodha</t>
  </si>
  <si>
    <t>Commercial Urban Small business</t>
  </si>
  <si>
    <t>paid</t>
  </si>
  <si>
    <t>Domestic Urban Upto 5 marla</t>
  </si>
  <si>
    <t>1Bill</t>
  </si>
  <si>
    <t>Dec 04, 2025</t>
  </si>
  <si>
    <t>Dec 03, 2025</t>
  </si>
  <si>
    <t>Dec 02, 2025</t>
  </si>
  <si>
    <t>Row Labels</t>
  </si>
  <si>
    <t>Grand Total</t>
  </si>
  <si>
    <t>Sum of Paid Amount</t>
  </si>
  <si>
    <t>Column Labels</t>
  </si>
  <si>
    <t>Count of Paid Amount2</t>
  </si>
  <si>
    <t>26770110100911005622</t>
  </si>
  <si>
    <t>Bhalwal</t>
  </si>
  <si>
    <t>Tehsil Office, Bhalwal</t>
  </si>
  <si>
    <t>MC-4 Zahoor Hayat Colony Bhalwal</t>
  </si>
  <si>
    <t>https://suthra.punjab.gov.pk/suthra-nfs/suthra/uploads/suthra-punjab-bill/2025/11/18/9/32/139/bill-spj-15392-area-5766-02-59-05.pdf</t>
  </si>
  <si>
    <t>26770110100911007542</t>
  </si>
  <si>
    <t>MC-1, MANZOOR HAYAT COLONY BHALWAL</t>
  </si>
  <si>
    <t>https://suthra.punjab.gov.pk/suthra-nfs/suthra/uploads/suthra-punjab-bill/2025/11/18/9/32/139/bill-spj-15339-area-5763-02-58-47.pdf</t>
  </si>
  <si>
    <t>26770110100911005632</t>
  </si>
  <si>
    <t>26770110100911003572</t>
  </si>
  <si>
    <t>MC-17 Block no 2</t>
  </si>
  <si>
    <t>https://suthra.punjab.gov.pk/suthra-nfs/suthra/uploads/suthra-punjab-bill/2025/11/18/9/32/139/bill-spj-15318-area-5780-02-58-37.pdf</t>
  </si>
  <si>
    <t>26770110100911005383</t>
  </si>
  <si>
    <t>MC-2, MANZOOR HAYAT COLONY BHALWAL</t>
  </si>
  <si>
    <t>https://suthra.punjab.gov.pk/suthra-nfs/suthra/uploads/suthra-punjab-bill/2025/11/18/9/32/139/bill-spj-15388-area-5764-02-59-04.pdf</t>
  </si>
  <si>
    <t>26770110100911004688</t>
  </si>
  <si>
    <t>Commercial Urban Medium business</t>
  </si>
  <si>
    <t>https://suthra.punjab.gov.pk/suthra-nfs/suthra/uploads/suthra-punjab-bill/2025/11/18/9/32/139/bill-spj-15313-area-5780-02-58-36.pdf</t>
  </si>
  <si>
    <t>26770110100911005135</t>
  </si>
  <si>
    <t>https://suthra.punjab.gov.pk/suthra-nfs/suthra/uploads/suthra-punjab-bill/2025/11/18/9/32/139/bill-spj-15387-area-5764-02-59-04.pdf</t>
  </si>
  <si>
    <t>Stats Summary (Billing cycle Nov-25) BHALWAL</t>
  </si>
  <si>
    <t>26770110100911007531</t>
  </si>
  <si>
    <t>Dec 06, 2025</t>
  </si>
  <si>
    <t>26770110100911003722</t>
  </si>
  <si>
    <t>MC-21 Block 4 5</t>
  </si>
  <si>
    <t>https://suthra.punjab.gov.pk/suthra-nfs/suthra/uploads/suthra-punjab-bill/2025/11/18/9/32/139/bill-spj-15415-area-5784-02-59-14.pdf</t>
  </si>
  <si>
    <t>26770110100911003767</t>
  </si>
  <si>
    <t>https://suthra.punjab.gov.pk/suthra-nfs/suthra/uploads/suthra-punjab-bill/2025/11/18/9/32/139/bill-spj-15416-area-5784-02-59-14.pdf</t>
  </si>
  <si>
    <t>Dec 05, 2025</t>
  </si>
  <si>
    <t>26770110100911001082</t>
  </si>
  <si>
    <t>26770110100911002906</t>
  </si>
  <si>
    <t>26770110100911005832</t>
  </si>
  <si>
    <t>MC-3, MANZOOR HAYAT COLONY BHALWAL</t>
  </si>
  <si>
    <t>https://suthra.punjab.gov.pk/suthra-nfs/suthra/uploads/suthra-punjab-bill/2025/11/18/9/32/139/bill-spj-15331-area-5765-02-58-44.pdf</t>
  </si>
  <si>
    <t>26770110100911003756</t>
  </si>
  <si>
    <t>26770110100911007007</t>
  </si>
  <si>
    <t>MC-5 Zahoor Hayat Colony Bhalwal</t>
  </si>
  <si>
    <t>https://suthra.punjab.gov.pk/suthra-nfs/suthra/uploads/suthra-punjab-bill/2025/11/18/9/32/139/bill-spj-15321-area-5767-02-58-39.pdf</t>
  </si>
  <si>
    <t>26770110100911005789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</si>
</sst>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49" fontId="2" fillId="0" borderId="0" xfId="0" applyNumberFormat="1" applyFont="1"/>
    <xf numFmtId="17" fontId="2" fillId="0" borderId="0" xfId="0" applyNumberFormat="1" applyFont="1"/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2" formatCode="mmm\-yy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Billing-Main\Excel-Files\billing-Macros.xlsx" TargetMode="External"/><Relationship Id="rId1" Type="http://schemas.openxmlformats.org/officeDocument/2006/relationships/externalLinkPath" Target="/Billing-Main/Excel-Files/billing-Macr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covery\Recovery-Home-Backups\RecoveryTeam.xlsx" TargetMode="External"/><Relationship Id="rId1" Type="http://schemas.openxmlformats.org/officeDocument/2006/relationships/externalLinkPath" Target="file:///D:\Recovery\Recovery-Home-Backups\RecoveryTe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ones"/>
      <sheetName val="pivots"/>
      <sheetName val="List"/>
      <sheetName val="Status"/>
      <sheetName val="Sheet3"/>
      <sheetName val="StatusHelper"/>
      <sheetName val="Sheet1"/>
      <sheetName val="Sheet2"/>
      <sheetName val="Paid status"/>
      <sheetName val="Summary"/>
      <sheetName val="Khushab-Billing"/>
      <sheetName val="Sheet4"/>
      <sheetName val="Sheet5"/>
      <sheetName val="Paid Pivots"/>
    </sheetNames>
    <sheetDataSet>
      <sheetData sheetId="0">
        <row r="1">
          <cell r="C1" t="str">
            <v>MC</v>
          </cell>
        </row>
        <row r="2">
          <cell r="C2">
            <v>1</v>
          </cell>
        </row>
        <row r="3">
          <cell r="C3" t="str">
            <v>MC-1</v>
          </cell>
        </row>
        <row r="4">
          <cell r="C4" t="str">
            <v>MC-2</v>
          </cell>
        </row>
        <row r="5">
          <cell r="C5" t="str">
            <v>MC-3</v>
          </cell>
        </row>
        <row r="6">
          <cell r="C6" t="str">
            <v>MC-4</v>
          </cell>
        </row>
        <row r="7">
          <cell r="C7" t="str">
            <v>MC-5</v>
          </cell>
        </row>
        <row r="8">
          <cell r="C8" t="str">
            <v>MC-6</v>
          </cell>
        </row>
        <row r="9">
          <cell r="C9" t="str">
            <v>1B</v>
          </cell>
        </row>
        <row r="10">
          <cell r="C10" t="str">
            <v>MC-7</v>
          </cell>
        </row>
        <row r="11">
          <cell r="C11" t="str">
            <v>MC-8</v>
          </cell>
        </row>
        <row r="12">
          <cell r="C12" t="str">
            <v>MC-9</v>
          </cell>
        </row>
        <row r="13">
          <cell r="C13" t="str">
            <v>MC-10</v>
          </cell>
        </row>
        <row r="14">
          <cell r="C14" t="str">
            <v>MC-11</v>
          </cell>
        </row>
        <row r="15">
          <cell r="C15">
            <v>2</v>
          </cell>
        </row>
        <row r="16">
          <cell r="C16" t="str">
            <v>MC-12</v>
          </cell>
        </row>
        <row r="17">
          <cell r="C17" t="str">
            <v>MC-13</v>
          </cell>
        </row>
        <row r="18">
          <cell r="C18" t="str">
            <v>MC-14</v>
          </cell>
        </row>
        <row r="19">
          <cell r="C19" t="str">
            <v>MC-15</v>
          </cell>
        </row>
        <row r="20">
          <cell r="C20" t="str">
            <v>MC-16</v>
          </cell>
        </row>
        <row r="21">
          <cell r="C21" t="str">
            <v>MC-17</v>
          </cell>
        </row>
        <row r="22">
          <cell r="C22" t="str">
            <v>2B</v>
          </cell>
        </row>
        <row r="23">
          <cell r="C23" t="str">
            <v>MC-18</v>
          </cell>
        </row>
        <row r="24">
          <cell r="C24" t="str">
            <v>MC-19</v>
          </cell>
        </row>
        <row r="25">
          <cell r="C25" t="str">
            <v>MC-20</v>
          </cell>
        </row>
        <row r="26">
          <cell r="C26" t="str">
            <v>MC-21</v>
          </cell>
        </row>
        <row r="27">
          <cell r="C27" t="str">
            <v>MC-22</v>
          </cell>
        </row>
        <row r="28">
          <cell r="C28">
            <v>3</v>
          </cell>
        </row>
        <row r="29">
          <cell r="C29" t="str">
            <v>UC-88</v>
          </cell>
        </row>
        <row r="30">
          <cell r="C30" t="str">
            <v>UC-89</v>
          </cell>
        </row>
        <row r="31">
          <cell r="C31" t="str">
            <v>UC-90</v>
          </cell>
        </row>
        <row r="32">
          <cell r="C32" t="str">
            <v>UC-91</v>
          </cell>
        </row>
        <row r="33">
          <cell r="C33" t="str">
            <v>UC-92</v>
          </cell>
        </row>
        <row r="34">
          <cell r="C34" t="str">
            <v>UC-95</v>
          </cell>
        </row>
        <row r="35">
          <cell r="C35" t="str">
            <v>UC-96</v>
          </cell>
        </row>
        <row r="36">
          <cell r="C36" t="str">
            <v>UC-99</v>
          </cell>
        </row>
        <row r="37">
          <cell r="C37">
            <v>4</v>
          </cell>
        </row>
        <row r="38">
          <cell r="C38" t="str">
            <v>UC-97</v>
          </cell>
        </row>
        <row r="39">
          <cell r="C39" t="str">
            <v>UC-100</v>
          </cell>
        </row>
        <row r="40">
          <cell r="C40" t="str">
            <v>UC-101</v>
          </cell>
        </row>
        <row r="41">
          <cell r="C41" t="str">
            <v>UC-102</v>
          </cell>
        </row>
        <row r="42">
          <cell r="C42" t="str">
            <v>UC-103</v>
          </cell>
        </row>
        <row r="43">
          <cell r="C43" t="str">
            <v>UC-104</v>
          </cell>
        </row>
        <row r="44">
          <cell r="C44" t="str">
            <v>UC-105</v>
          </cell>
        </row>
        <row r="45">
          <cell r="C45" t="str">
            <v>UC-107</v>
          </cell>
        </row>
        <row r="46">
          <cell r="C46">
            <v>5</v>
          </cell>
        </row>
        <row r="47">
          <cell r="C47" t="str">
            <v>UC-73</v>
          </cell>
        </row>
        <row r="48">
          <cell r="C48" t="str">
            <v>UC-82</v>
          </cell>
        </row>
        <row r="49">
          <cell r="C49" t="str">
            <v>UC-83</v>
          </cell>
        </row>
        <row r="50">
          <cell r="C50" t="str">
            <v>UC-85</v>
          </cell>
        </row>
        <row r="51">
          <cell r="C51" t="str">
            <v>UC-86</v>
          </cell>
        </row>
        <row r="52">
          <cell r="C52" t="str">
            <v>UC-87</v>
          </cell>
        </row>
        <row r="53">
          <cell r="C53" t="str">
            <v>UC-106</v>
          </cell>
        </row>
        <row r="54">
          <cell r="C54" t="str">
            <v>UC-108</v>
          </cell>
        </row>
        <row r="55">
          <cell r="C55">
            <v>6</v>
          </cell>
        </row>
        <row r="56">
          <cell r="C56" t="str">
            <v>UC-68</v>
          </cell>
        </row>
        <row r="57">
          <cell r="C57" t="str">
            <v>UC-69</v>
          </cell>
        </row>
        <row r="58">
          <cell r="C58" t="str">
            <v>UC-71</v>
          </cell>
        </row>
        <row r="59">
          <cell r="C59" t="str">
            <v>UC-72</v>
          </cell>
        </row>
        <row r="60">
          <cell r="C60" t="str">
            <v>UC-74</v>
          </cell>
        </row>
        <row r="61">
          <cell r="C61" t="str">
            <v>UC-65</v>
          </cell>
        </row>
        <row r="62">
          <cell r="C62" t="str">
            <v>UC-66</v>
          </cell>
        </row>
        <row r="63">
          <cell r="C63" t="str">
            <v>UC-67</v>
          </cell>
        </row>
        <row r="64">
          <cell r="C64" t="str">
            <v>UC-67</v>
          </cell>
        </row>
        <row r="65">
          <cell r="C65">
            <v>7</v>
          </cell>
        </row>
        <row r="66">
          <cell r="C66" t="str">
            <v>UC-58</v>
          </cell>
        </row>
        <row r="67">
          <cell r="C67" t="str">
            <v>UC-59</v>
          </cell>
        </row>
        <row r="68">
          <cell r="C68" t="str">
            <v>UC-60</v>
          </cell>
        </row>
        <row r="69">
          <cell r="C69" t="str">
            <v>UC-62</v>
          </cell>
        </row>
        <row r="70">
          <cell r="C70" t="str">
            <v>UC-63</v>
          </cell>
        </row>
        <row r="71">
          <cell r="C71" t="str">
            <v>UC-64</v>
          </cell>
        </row>
        <row r="72">
          <cell r="C72" t="str">
            <v>UC-76</v>
          </cell>
        </row>
        <row r="73">
          <cell r="C73" t="str">
            <v>UC-77</v>
          </cell>
        </row>
        <row r="74">
          <cell r="C74" t="str">
            <v>UC-78</v>
          </cell>
        </row>
        <row r="75">
          <cell r="C75" t="str">
            <v>UC-79</v>
          </cell>
        </row>
        <row r="76">
          <cell r="C76" t="str">
            <v>UC-80</v>
          </cell>
        </row>
        <row r="77">
          <cell r="C77" t="str">
            <v>UC-81</v>
          </cell>
        </row>
        <row r="78">
          <cell r="C78" t="str">
            <v>MC-3</v>
          </cell>
        </row>
        <row r="79">
          <cell r="C79" t="str">
            <v>MC-4</v>
          </cell>
        </row>
        <row r="80">
          <cell r="C80" t="str">
            <v>MC-21</v>
          </cell>
        </row>
        <row r="81">
          <cell r="C81" t="str">
            <v>MC-8</v>
          </cell>
        </row>
        <row r="82">
          <cell r="C82" t="str">
            <v>MC-9</v>
          </cell>
        </row>
        <row r="83">
          <cell r="C83" t="str">
            <v>MC-2</v>
          </cell>
        </row>
      </sheetData>
      <sheetData sheetId="1"/>
      <sheetData sheetId="2">
        <row r="2">
          <cell r="E2" t="str">
            <v>MC-11, City II, Sargodha</v>
          </cell>
        </row>
        <row r="3">
          <cell r="E3" t="str">
            <v>MC-11, City II, Sargodha</v>
          </cell>
        </row>
        <row r="4">
          <cell r="E4" t="str">
            <v>MC-7, Rehmanpura 02, Sargodha</v>
          </cell>
        </row>
        <row r="5">
          <cell r="E5" t="str">
            <v>MC-14, New Muhammadi Colony, Sargodha</v>
          </cell>
        </row>
        <row r="6">
          <cell r="E6" t="str">
            <v>MC-11, City II, Sargodha</v>
          </cell>
        </row>
        <row r="7">
          <cell r="E7" t="str">
            <v>MC-12, Urban Area, Sargodha</v>
          </cell>
        </row>
        <row r="8">
          <cell r="E8" t="str">
            <v>MC-7, Rehmanpura 02, Sargodha</v>
          </cell>
        </row>
        <row r="9">
          <cell r="E9" t="str">
            <v>MC-11, City II, Sargodha</v>
          </cell>
        </row>
        <row r="10">
          <cell r="E10" t="str">
            <v>MC-12, Urban Area, Sargodha</v>
          </cell>
        </row>
        <row r="11">
          <cell r="E11" t="str">
            <v>MC-7, Rehmanpura 02, Sargodha</v>
          </cell>
        </row>
        <row r="12">
          <cell r="E12" t="str">
            <v>MC-14, New Muhammadi Colony, Sargodha</v>
          </cell>
        </row>
        <row r="13">
          <cell r="E13" t="str">
            <v>MC-14, New Muhammadi Colony, Sargodha</v>
          </cell>
        </row>
        <row r="14">
          <cell r="E14" t="str">
            <v>MC-12, Urban Area, Sargodha</v>
          </cell>
        </row>
        <row r="15">
          <cell r="E15" t="str">
            <v>MC-7, Rehmanpura 02, Sargodha</v>
          </cell>
        </row>
        <row r="16">
          <cell r="E16" t="str">
            <v>MC-11, City II, Sargodha</v>
          </cell>
        </row>
        <row r="17">
          <cell r="E17" t="str">
            <v>MC-14, New Muhammadi Colony, Sargodha</v>
          </cell>
        </row>
        <row r="18">
          <cell r="E18" t="str">
            <v>MC-7, Rehmanpura 02, Sargodha</v>
          </cell>
        </row>
        <row r="19">
          <cell r="E19" t="str">
            <v>MC-14, New Muhammadi Colony, Sargodha</v>
          </cell>
        </row>
        <row r="20">
          <cell r="E20" t="str">
            <v>MC-12, Urban Area, Sargodha</v>
          </cell>
        </row>
        <row r="21">
          <cell r="E21" t="str">
            <v>MC-14, New Muhammadi Colony, Sargodha</v>
          </cell>
        </row>
        <row r="22">
          <cell r="E22" t="str">
            <v>MC-12, Urban Area, Sargodha</v>
          </cell>
        </row>
        <row r="23">
          <cell r="E23" t="str">
            <v>MC-11, City II, Sargodha</v>
          </cell>
        </row>
        <row r="24">
          <cell r="E24" t="str">
            <v>MC-14, New Muhammadi Colony, Sargodha</v>
          </cell>
        </row>
        <row r="25">
          <cell r="E25" t="str">
            <v>MC-11, City II, Sargodha</v>
          </cell>
        </row>
        <row r="26">
          <cell r="E26" t="str">
            <v>MC-14, New Muhammadi Colony, Sargodha</v>
          </cell>
        </row>
        <row r="27">
          <cell r="E27" t="str">
            <v>MC-7, Rehmanpura 02, Sargodha</v>
          </cell>
        </row>
        <row r="28">
          <cell r="E28" t="str">
            <v>MC-12, Urban Area, Sargodha</v>
          </cell>
        </row>
        <row r="29">
          <cell r="E29" t="str">
            <v>MC-14, New Muhammadi Colony, Sargodha</v>
          </cell>
        </row>
        <row r="30">
          <cell r="E30" t="str">
            <v>MC-11, City II, Sargodha</v>
          </cell>
        </row>
        <row r="31">
          <cell r="E31" t="str">
            <v>MC-14, New Muhammadi Colony, Sargodha</v>
          </cell>
        </row>
        <row r="32">
          <cell r="E32" t="str">
            <v>MC-12, Urban Area, Sargodha</v>
          </cell>
        </row>
        <row r="33">
          <cell r="E33" t="str">
            <v>MC-11, City II, Sargodha</v>
          </cell>
        </row>
        <row r="34">
          <cell r="E34" t="str">
            <v>MC-7, Rehmanpura 02, Sargodha</v>
          </cell>
        </row>
        <row r="35">
          <cell r="E35" t="str">
            <v>MC-14, New Muhammadi Colony, Sargodha</v>
          </cell>
        </row>
        <row r="36">
          <cell r="E36" t="str">
            <v>MC-7, Rehmanpura 02, Sargodha</v>
          </cell>
        </row>
        <row r="37">
          <cell r="E37" t="str">
            <v>MC-11, City II, Sargodha</v>
          </cell>
        </row>
        <row r="38">
          <cell r="E38" t="str">
            <v>MC-12, Urban Area, Sargodha</v>
          </cell>
        </row>
        <row r="39">
          <cell r="E39" t="str">
            <v>MC-14, New Muhammadi Colony, Sargodha</v>
          </cell>
        </row>
        <row r="40">
          <cell r="E40" t="str">
            <v>MC-7, Rehmanpura 02, Sargodha</v>
          </cell>
        </row>
        <row r="41">
          <cell r="E41" t="str">
            <v>MC-7, Rehmanpura 02, Sargodha</v>
          </cell>
        </row>
        <row r="42">
          <cell r="E42" t="str">
            <v>MC-11, City II, Sargodha</v>
          </cell>
        </row>
        <row r="43">
          <cell r="E43" t="str">
            <v>MC-11, City II, Sargodha</v>
          </cell>
        </row>
        <row r="44">
          <cell r="E44" t="str">
            <v>MC-14, New Muhammadi Colony, Sargodha</v>
          </cell>
        </row>
        <row r="45">
          <cell r="E45" t="str">
            <v>MC-7, Rehmanpura 02, Sargodha</v>
          </cell>
        </row>
        <row r="46">
          <cell r="E46" t="str">
            <v>MC-11, City II, Sargodha</v>
          </cell>
        </row>
        <row r="47">
          <cell r="E47" t="str">
            <v>MC-14, New Muhammadi Colony, Sargodha</v>
          </cell>
        </row>
        <row r="48">
          <cell r="E48" t="str">
            <v>MC-12, Urban Area, Sargodha</v>
          </cell>
        </row>
        <row r="49">
          <cell r="E49" t="str">
            <v>MC-11, City II, Sargodha</v>
          </cell>
        </row>
        <row r="50">
          <cell r="E50" t="str">
            <v>MC-7, Rehmanpura 02, Sargodha</v>
          </cell>
        </row>
        <row r="51">
          <cell r="E51" t="str">
            <v>MC-11, City II, Sargodha</v>
          </cell>
        </row>
        <row r="52">
          <cell r="E52" t="str">
            <v>MC-7, Rehmanpura 02, Sargodha</v>
          </cell>
        </row>
        <row r="53">
          <cell r="E53" t="str">
            <v>MC-11, City II, Sargodha</v>
          </cell>
        </row>
        <row r="54">
          <cell r="E54" t="str">
            <v>MC-11, City II, Sargodha</v>
          </cell>
        </row>
        <row r="55">
          <cell r="E55" t="str">
            <v>MC-11, City II, Sargodha</v>
          </cell>
        </row>
        <row r="56">
          <cell r="E56" t="str">
            <v>MC-11, City II, Sargodha</v>
          </cell>
        </row>
        <row r="57">
          <cell r="E57" t="str">
            <v>MC-11, City II, Sargodha</v>
          </cell>
        </row>
        <row r="58">
          <cell r="E58" t="str">
            <v>MC-14, New Muhammadi Colony, Sargodha</v>
          </cell>
        </row>
        <row r="59">
          <cell r="E59" t="str">
            <v>MC-14, New Muhammadi Colony, Sargodha</v>
          </cell>
        </row>
        <row r="60">
          <cell r="E60" t="str">
            <v>MC-11, City II, Sargodha</v>
          </cell>
        </row>
        <row r="61">
          <cell r="E61" t="str">
            <v>MC-11, City II, Sargodha</v>
          </cell>
        </row>
        <row r="62">
          <cell r="E62" t="str">
            <v>MC-11, City II, Sargodha</v>
          </cell>
        </row>
        <row r="63">
          <cell r="E63" t="str">
            <v>MC-11, City II, Sargodha</v>
          </cell>
        </row>
        <row r="64">
          <cell r="E64" t="str">
            <v>MC-11, City II, Sargodha</v>
          </cell>
        </row>
        <row r="65">
          <cell r="E65" t="str">
            <v>MC-11, City II, Sargodha</v>
          </cell>
        </row>
        <row r="66">
          <cell r="E66" t="str">
            <v>MC-11, City II, Sargodha</v>
          </cell>
        </row>
        <row r="67">
          <cell r="E67" t="str">
            <v>MC-11, City II, Sargodha</v>
          </cell>
        </row>
        <row r="68">
          <cell r="E68" t="str">
            <v>MC-14, New Muhammadi Colony, Sargodha</v>
          </cell>
        </row>
        <row r="69">
          <cell r="E69" t="str">
            <v>MC-11, City II, Sargodha</v>
          </cell>
        </row>
        <row r="70">
          <cell r="E70" t="str">
            <v>MC-14, New Muhammadi Colony, Sargodha</v>
          </cell>
        </row>
        <row r="71">
          <cell r="E71" t="str">
            <v>MC-14, New Muhammadi Colony, Sargodha</v>
          </cell>
        </row>
        <row r="72">
          <cell r="E72" t="str">
            <v>MC-11, City II, Sargodha</v>
          </cell>
        </row>
        <row r="73">
          <cell r="E73" t="str">
            <v>MC-11, City II, Sargodha</v>
          </cell>
        </row>
        <row r="74">
          <cell r="E74" t="str">
            <v>MC-11, City II, Sargodha</v>
          </cell>
        </row>
        <row r="75">
          <cell r="E75" t="str">
            <v>MC-12, Urban Area, Sargodha</v>
          </cell>
        </row>
        <row r="76">
          <cell r="E76" t="str">
            <v>MC-11, City II, Sargodha</v>
          </cell>
        </row>
        <row r="77">
          <cell r="E77" t="str">
            <v>MC-14, New Muhammadi Colony, Sargodha</v>
          </cell>
        </row>
        <row r="78">
          <cell r="E78" t="str">
            <v>MC-12, Urban Area, Sargodha</v>
          </cell>
        </row>
        <row r="79">
          <cell r="E79" t="str">
            <v>MC-11, City II, Sargodha</v>
          </cell>
        </row>
        <row r="80">
          <cell r="E80" t="str">
            <v>MC-11, City II, Sargodha</v>
          </cell>
        </row>
        <row r="81">
          <cell r="E81" t="str">
            <v>MC-14, New Muhammadi Colony, Sargodha</v>
          </cell>
        </row>
        <row r="82">
          <cell r="E82" t="str">
            <v>MC-11, City II, Sargodha</v>
          </cell>
        </row>
        <row r="83">
          <cell r="E83" t="str">
            <v>MC-11, City II, Sargodha</v>
          </cell>
        </row>
        <row r="84">
          <cell r="E84" t="str">
            <v>MC-12, Urban Area, Sargodha</v>
          </cell>
        </row>
        <row r="85">
          <cell r="E85" t="str">
            <v>MC-14, New Muhammadi Colony, Sargodha</v>
          </cell>
        </row>
        <row r="86">
          <cell r="E86" t="str">
            <v>MC-11, City II, Sargodha</v>
          </cell>
        </row>
        <row r="87">
          <cell r="E87" t="str">
            <v>MC-11, City II, Sargodha</v>
          </cell>
        </row>
        <row r="88">
          <cell r="E88" t="str">
            <v>MC-14, New Muhammadi Colony, Sargodha</v>
          </cell>
        </row>
        <row r="89">
          <cell r="E89" t="str">
            <v>MC-11, City II, Sargodha</v>
          </cell>
        </row>
        <row r="90">
          <cell r="E90" t="str">
            <v>MC-14, New Muhammadi Colony, Sargodha</v>
          </cell>
        </row>
        <row r="91">
          <cell r="E91" t="str">
            <v>MC-14, New Muhammadi Colony, Sargodha</v>
          </cell>
        </row>
        <row r="92">
          <cell r="E92" t="str">
            <v>MC-14, New Muhammadi Colony, Sargodha</v>
          </cell>
        </row>
        <row r="93">
          <cell r="E93" t="str">
            <v>MC-14, New Muhammadi Colony, Sargodha</v>
          </cell>
        </row>
        <row r="94">
          <cell r="E94" t="str">
            <v>MC-14, New Muhammadi Colony, Sargodha</v>
          </cell>
        </row>
        <row r="95">
          <cell r="E95" t="str">
            <v>MC-12, Urban Area, Sargodha</v>
          </cell>
        </row>
        <row r="96">
          <cell r="E96" t="str">
            <v>MC-11, City II, Sargodha</v>
          </cell>
        </row>
        <row r="97">
          <cell r="E97" t="str">
            <v>MC-14, New Muhammadi Colony, Sargodha</v>
          </cell>
        </row>
        <row r="98">
          <cell r="E98" t="str">
            <v>UC-102, Chak 33/SB, Sargodha</v>
          </cell>
        </row>
        <row r="99">
          <cell r="E99" t="str">
            <v>UC-102, Chak 33/SB, Sargodha</v>
          </cell>
        </row>
        <row r="100">
          <cell r="E100" t="str">
            <v>UC-90, Chak 40/NB, Sargodha</v>
          </cell>
        </row>
        <row r="101">
          <cell r="E101" t="str">
            <v>UC-59, Chak 19/NB, Sargodha</v>
          </cell>
        </row>
        <row r="102">
          <cell r="E102" t="str">
            <v>UC-102, Chak 33/SB, Sargodha</v>
          </cell>
        </row>
        <row r="103">
          <cell r="E103" t="str">
            <v>UC-100, Chak 28/SB, Sargodha</v>
          </cell>
        </row>
        <row r="104">
          <cell r="E104" t="str">
            <v>UC-90, Chak 40/NB, Sargodha</v>
          </cell>
        </row>
        <row r="105">
          <cell r="E105" t="str">
            <v>UC-100, Chak 28/SB, Sargodha</v>
          </cell>
        </row>
        <row r="106">
          <cell r="E106" t="str">
            <v>UC-72, Chak 90/NB, Sargodha</v>
          </cell>
        </row>
        <row r="107">
          <cell r="E107" t="str">
            <v>UC-102, Chak 33/SB, Sargodha</v>
          </cell>
        </row>
        <row r="108">
          <cell r="E108" t="str">
            <v>UC-78, Chak 55/NB, Sargodha</v>
          </cell>
        </row>
        <row r="109">
          <cell r="E109" t="str">
            <v>UC-102, Chak 33/SB, Sargodha</v>
          </cell>
        </row>
        <row r="110">
          <cell r="E110" t="str">
            <v>UC-100, Chak 28/SB, Sargodha</v>
          </cell>
        </row>
        <row r="111">
          <cell r="E111" t="str">
            <v>UC-90, Chak 40/NB, Sargodha</v>
          </cell>
        </row>
        <row r="112">
          <cell r="E112" t="str">
            <v>UC-103, Chak 36/SB, Sargodha</v>
          </cell>
        </row>
        <row r="113">
          <cell r="E113" t="str">
            <v>UC-78, Chak 55/NB, Sargodha</v>
          </cell>
        </row>
        <row r="114">
          <cell r="E114" t="str">
            <v>UC-103, Chak 36/SB, Sargodha</v>
          </cell>
        </row>
        <row r="115">
          <cell r="E115" t="str">
            <v>UC-78, Chak 55/NB, Sargodha</v>
          </cell>
        </row>
        <row r="116">
          <cell r="E116" t="str">
            <v>UC-90, Chak 40/NB, Sargodha</v>
          </cell>
        </row>
        <row r="117">
          <cell r="E117" t="str">
            <v>UC-78, Chak 55/NB, Sargodha</v>
          </cell>
        </row>
        <row r="118">
          <cell r="E118" t="str">
            <v>UC-102, Chak 33/SB, Sargodha</v>
          </cell>
        </row>
        <row r="119">
          <cell r="E119" t="str">
            <v>UC-81, Chak 34/NB, Sargodha</v>
          </cell>
        </row>
        <row r="120">
          <cell r="E120" t="str">
            <v>UC-97, Luqman, Sargodha</v>
          </cell>
        </row>
        <row r="121">
          <cell r="E121" t="str">
            <v>UC-78, Chak 55/NB, Sargodha</v>
          </cell>
        </row>
        <row r="122">
          <cell r="E122" t="str">
            <v>UC-90, Chak 40/NB, Sargodha</v>
          </cell>
        </row>
        <row r="123">
          <cell r="E123" t="str">
            <v>UC-100, Chak 28/SB, Sargodha</v>
          </cell>
        </row>
        <row r="124">
          <cell r="E124" t="str">
            <v>UC-102, Chak 33/SB, Sargodha</v>
          </cell>
        </row>
        <row r="125">
          <cell r="E125" t="str">
            <v>UC-73, Chak 100/NB, Sargodha</v>
          </cell>
        </row>
        <row r="126">
          <cell r="E126" t="str">
            <v>UC-90, Chak 40/NB, Sargodha</v>
          </cell>
        </row>
        <row r="127">
          <cell r="E127" t="str">
            <v>UC-78, Chak 55/NB, Sargodha</v>
          </cell>
        </row>
        <row r="128">
          <cell r="E128" t="str">
            <v>UC-86, Chak 107/SB, Sargodha</v>
          </cell>
        </row>
        <row r="129">
          <cell r="E129" t="str">
            <v>UC-73, Chak 100/NB, Sargodha</v>
          </cell>
        </row>
        <row r="130">
          <cell r="E130" t="str">
            <v>UC-90, Chak 40/NB, Sargodha</v>
          </cell>
        </row>
        <row r="131">
          <cell r="E131" t="str">
            <v>UC-87, Chak 100/SB, Sargodha</v>
          </cell>
        </row>
        <row r="132">
          <cell r="E132" t="str">
            <v>UC-107, Chak 55/SB, Sargodha</v>
          </cell>
        </row>
        <row r="133">
          <cell r="E133" t="str">
            <v>UC-78, Chak 55/NB, Sargodha</v>
          </cell>
        </row>
        <row r="134">
          <cell r="E134" t="str">
            <v>MC-16, Muqam-e-Hayat I, Sargodha</v>
          </cell>
        </row>
        <row r="135">
          <cell r="E135" t="str">
            <v>UC-88, Chak 96/SB, Sargodha</v>
          </cell>
        </row>
        <row r="136">
          <cell r="E136" t="str">
            <v>UC-78, Chak 55/NB, Sargodha</v>
          </cell>
        </row>
        <row r="137">
          <cell r="E137" t="str">
            <v>UC-107, Chak 55/SB, Sargodha</v>
          </cell>
        </row>
        <row r="138">
          <cell r="E138" t="str">
            <v>UC-102, Chak 33/SB, Sargodha</v>
          </cell>
        </row>
        <row r="139">
          <cell r="E139" t="str">
            <v>MC-16, Muqam-e-Hayat I, Sargodha</v>
          </cell>
        </row>
        <row r="140">
          <cell r="E140" t="str">
            <v>UC-107, Chak 55/SB, Sargodha</v>
          </cell>
        </row>
        <row r="141">
          <cell r="E141" t="str">
            <v>MC-16, Muqam-e-Hayat I, Sargodha</v>
          </cell>
        </row>
        <row r="142">
          <cell r="E142" t="str">
            <v>UC-78, Chak 55/NB, Sargodha</v>
          </cell>
        </row>
        <row r="143">
          <cell r="E143" t="str">
            <v>UC-107, Chak 55/SB, Sargodha</v>
          </cell>
        </row>
        <row r="144">
          <cell r="E144" t="str">
            <v>UC-102, Chak 33/SB, Sargodha</v>
          </cell>
        </row>
        <row r="145">
          <cell r="E145" t="str">
            <v>UC-100, Chak 28/SB, Sargodha</v>
          </cell>
        </row>
        <row r="146">
          <cell r="E146" t="str">
            <v>UC-82, Chak 109/SB, Sargodha</v>
          </cell>
        </row>
        <row r="147">
          <cell r="E147" t="str">
            <v>UC-79, Ludewala, Sargodha</v>
          </cell>
        </row>
        <row r="148">
          <cell r="E148" t="str">
            <v>UC-100, Chak 28/SB, Sargodha</v>
          </cell>
        </row>
        <row r="149">
          <cell r="E149" t="str">
            <v>UC-102, Chak 33/SB, Sargodha</v>
          </cell>
        </row>
        <row r="150">
          <cell r="E150" t="str">
            <v>UC-100, Chak 28/SB, Sargodha</v>
          </cell>
        </row>
        <row r="151">
          <cell r="E151" t="str">
            <v>UC-82, Chak 109/SB, Sargodha</v>
          </cell>
        </row>
        <row r="152">
          <cell r="E152" t="str">
            <v>UC-79, Ludewala, Sargodha</v>
          </cell>
        </row>
        <row r="153">
          <cell r="E153" t="str">
            <v>UC-107, Chak 55/SB, Sargodha</v>
          </cell>
        </row>
        <row r="154">
          <cell r="E154" t="str">
            <v>UC-100, Chak 28/SB, Sargodha</v>
          </cell>
        </row>
        <row r="155">
          <cell r="E155" t="str">
            <v>UC-79, Ludewala, Sargodha</v>
          </cell>
        </row>
        <row r="156">
          <cell r="E156" t="str">
            <v>UC-108, Chak 58/SB, Sargodha</v>
          </cell>
        </row>
        <row r="157">
          <cell r="E157" t="str">
            <v>UC-100, Chak 28/SB, Sargodha</v>
          </cell>
        </row>
        <row r="158">
          <cell r="E158" t="str">
            <v>UC-79, Ludewala, Sargodha</v>
          </cell>
        </row>
        <row r="159">
          <cell r="E159" t="str">
            <v>UC-100, Chak 28/SB, Sargodha</v>
          </cell>
        </row>
        <row r="160">
          <cell r="E160" t="str">
            <v>UC-108, Chak 58/SB, Sargodha</v>
          </cell>
        </row>
        <row r="161">
          <cell r="E161" t="str">
            <v>UC-102, Chak 33/SB, Sargodha</v>
          </cell>
        </row>
        <row r="162">
          <cell r="E162" t="str">
            <v>UC-100, Chak 28/SB, Sargodha</v>
          </cell>
        </row>
        <row r="163">
          <cell r="E163" t="str">
            <v>UC-100, Chak 28/SB, Sargodha</v>
          </cell>
        </row>
        <row r="164">
          <cell r="E164" t="str">
            <v>UC-108, Chak 58/SB, Sargodha</v>
          </cell>
        </row>
        <row r="165">
          <cell r="E165" t="str">
            <v>UC-87, Chak 100/SB, Sargodha</v>
          </cell>
        </row>
        <row r="166">
          <cell r="E166" t="str">
            <v>UC-107, Chak 55/SB, Sargodha</v>
          </cell>
        </row>
        <row r="167">
          <cell r="E167" t="str">
            <v>UC-108, Chak 58/SB, Sargodha</v>
          </cell>
        </row>
        <row r="168">
          <cell r="E168" t="str">
            <v>UC-79, Ludewala, Sargodha</v>
          </cell>
        </row>
        <row r="169">
          <cell r="E169" t="str">
            <v>UC-108, Chak 58/SB, Sargodha</v>
          </cell>
        </row>
        <row r="170">
          <cell r="E170" t="str">
            <v>UC-87, Chak 100/SB, Sargodha</v>
          </cell>
        </row>
        <row r="171">
          <cell r="E171" t="str">
            <v>UC-79, Ludewala, Sargodha</v>
          </cell>
        </row>
        <row r="172">
          <cell r="E172" t="str">
            <v>UC-107, Chak 55/SB, Sargodha</v>
          </cell>
        </row>
        <row r="173">
          <cell r="E173" t="str">
            <v>UC-87, Chak 100/SB, Sargodha</v>
          </cell>
        </row>
        <row r="174">
          <cell r="E174" t="str">
            <v>UC-108, Chak 58/SB, Sargodha</v>
          </cell>
        </row>
        <row r="175">
          <cell r="E175" t="str">
            <v>UC-79, Ludewala, Sargodha</v>
          </cell>
        </row>
        <row r="176">
          <cell r="E176" t="str">
            <v>UC-100, Chak 28/SB, Sargodha</v>
          </cell>
        </row>
        <row r="177">
          <cell r="E177" t="str">
            <v>UC-87, Chak 100/SB, Sargodha</v>
          </cell>
        </row>
        <row r="178">
          <cell r="E178" t="str">
            <v>UC-107, Chak 55/SB, Sargodha</v>
          </cell>
        </row>
        <row r="179">
          <cell r="E179" t="str">
            <v>UC-79, Ludewala, Sargodha</v>
          </cell>
        </row>
        <row r="180">
          <cell r="E180" t="str">
            <v>UC-107, Chak 55/SB, Sargodha</v>
          </cell>
        </row>
        <row r="181">
          <cell r="E181" t="str">
            <v>UC-105, Chak 52/SB, Sargodha</v>
          </cell>
        </row>
        <row r="182">
          <cell r="E182" t="str">
            <v>UC-87, Chak 100/SB, Sargodha</v>
          </cell>
        </row>
        <row r="183">
          <cell r="E183" t="str">
            <v>UC-79, Ludewala, Sargodha</v>
          </cell>
        </row>
        <row r="184">
          <cell r="E184" t="str">
            <v>UC-108, Chak 58/SB, Sargodha</v>
          </cell>
        </row>
        <row r="185">
          <cell r="E185" t="str">
            <v>MC-12, Urban Area, Sargodha</v>
          </cell>
        </row>
        <row r="186">
          <cell r="E186" t="str">
            <v>MC-12, Urban Area, Sargodha</v>
          </cell>
        </row>
        <row r="187">
          <cell r="E187" t="str">
            <v>MC-12, Urban Area, Sargodha</v>
          </cell>
        </row>
        <row r="188">
          <cell r="E188" t="str">
            <v>MC-18, City I, Sargodha</v>
          </cell>
        </row>
        <row r="189">
          <cell r="E189" t="str">
            <v>MC-18, City I, Sargodha</v>
          </cell>
        </row>
        <row r="190">
          <cell r="E190" t="str">
            <v>MC-11, City II, Sargodha</v>
          </cell>
        </row>
        <row r="191">
          <cell r="E191" t="str">
            <v>MC-11, City II, Sargodha</v>
          </cell>
        </row>
        <row r="192">
          <cell r="E192" t="str">
            <v>MC-18, City I, Sargodha</v>
          </cell>
        </row>
        <row r="193">
          <cell r="E193" t="str">
            <v>UC-71, Chak 97/NB, Sargodha</v>
          </cell>
        </row>
        <row r="194">
          <cell r="E194" t="str">
            <v>UC-100, Chak 28/SB, Sargodha</v>
          </cell>
        </row>
        <row r="195">
          <cell r="E195" t="str">
            <v>UC-103, Chak 36/SB, Sargodha</v>
          </cell>
        </row>
        <row r="196">
          <cell r="E196" t="str">
            <v>UC-65, Chak 67/ANB, Sargodha</v>
          </cell>
        </row>
        <row r="197">
          <cell r="E197" t="str">
            <v>UC-83, Chak 50/NB, Sargodha</v>
          </cell>
        </row>
        <row r="198">
          <cell r="E198" t="str">
            <v>UC-101, Chak 30/SB, Sargodha</v>
          </cell>
        </row>
        <row r="199">
          <cell r="E199" t="str">
            <v>UC-87, Chak 100/SB, Sargodha</v>
          </cell>
        </row>
        <row r="200">
          <cell r="E200" t="str">
            <v>UC-80, Chak 36/NB, Sargodha</v>
          </cell>
        </row>
        <row r="201">
          <cell r="E201" t="str">
            <v>UC-83, Chak 50/NB, Sargodha</v>
          </cell>
        </row>
        <row r="202">
          <cell r="E202" t="str">
            <v>UC-101, Chak 30/SB, Sargodha</v>
          </cell>
        </row>
        <row r="203">
          <cell r="E203" t="str">
            <v>UC-103, Chak 36/SB, Sargodha</v>
          </cell>
        </row>
        <row r="204">
          <cell r="E204" t="str">
            <v>UC-101, Chak 30/SB, Sargodha</v>
          </cell>
        </row>
        <row r="205">
          <cell r="E205" t="str">
            <v>UC-101, Chak 30/SB, Sargodha</v>
          </cell>
        </row>
        <row r="206">
          <cell r="E206" t="str">
            <v>UC-107, Chak 55/SB, Sargodha</v>
          </cell>
        </row>
        <row r="207">
          <cell r="E207" t="str">
            <v>UC-101, Chak 30/SB, Sargodha</v>
          </cell>
        </row>
        <row r="208">
          <cell r="E208" t="str">
            <v>UC-103, Chak 36/SB, Sargodha</v>
          </cell>
        </row>
        <row r="209">
          <cell r="E209" t="str">
            <v>UC-83, Chak 50/NB, Sargodha</v>
          </cell>
        </row>
        <row r="210">
          <cell r="E210" t="str">
            <v>UC-80, Chak 36/NB, Sargodha</v>
          </cell>
        </row>
        <row r="211">
          <cell r="E211" t="str">
            <v>UC-65, Chak 67/ANB, Sargodha</v>
          </cell>
        </row>
        <row r="212">
          <cell r="E212" t="str">
            <v>UC-83, Chak 50/NB, Sargodha</v>
          </cell>
        </row>
        <row r="213">
          <cell r="E213" t="str">
            <v>UC-107, Chak 55/SB, Sargodha</v>
          </cell>
        </row>
        <row r="214">
          <cell r="E214" t="str">
            <v>UC-80, Chak 36/NB, Sargodha</v>
          </cell>
        </row>
        <row r="215">
          <cell r="E215" t="str">
            <v>UC-108, Chak 58/SB, Sargodha</v>
          </cell>
        </row>
        <row r="216">
          <cell r="E216" t="str">
            <v>UC-86, Chak 107/SB, Sargodha</v>
          </cell>
        </row>
        <row r="217">
          <cell r="E217" t="str">
            <v>UC-86, Chak 107/SB, Sargodha</v>
          </cell>
        </row>
        <row r="218">
          <cell r="E218" t="str">
            <v>UC-86, Chak 107/SB, Sargodha</v>
          </cell>
        </row>
        <row r="219">
          <cell r="E219" t="str">
            <v>UC-86, Chak 107/SB, Sargodha</v>
          </cell>
        </row>
        <row r="220">
          <cell r="E220" t="str">
            <v>UC-103, Chak 36/SB, Sargodha</v>
          </cell>
        </row>
        <row r="221">
          <cell r="E221" t="str">
            <v>UC-86, Chak 107/SB, Sargodha</v>
          </cell>
        </row>
        <row r="222">
          <cell r="E222" t="str">
            <v>UC-86, Chak 107/SB, Sargodha</v>
          </cell>
        </row>
        <row r="223">
          <cell r="E223" t="str">
            <v>UC-86, Chak 107/SB, Sargodha</v>
          </cell>
        </row>
        <row r="224">
          <cell r="E224" t="str">
            <v>UC-103, Chak 36/SB, Sargodha</v>
          </cell>
        </row>
        <row r="225">
          <cell r="E225" t="str">
            <v>UC-100, Chak 28/SB, Sargodha</v>
          </cell>
        </row>
        <row r="226">
          <cell r="E226" t="str">
            <v>UC-88, Chak 96/SB, Sargodha</v>
          </cell>
        </row>
        <row r="227">
          <cell r="E227" t="str">
            <v>UC-103, Chak 36/SB, Sargodha</v>
          </cell>
        </row>
        <row r="228">
          <cell r="E228" t="str">
            <v>UC-101, Chak 30/SB, Sargodha</v>
          </cell>
        </row>
        <row r="229">
          <cell r="E229" t="str">
            <v>UC-66, Kolowal, Sargodha</v>
          </cell>
        </row>
        <row r="230">
          <cell r="E230" t="str">
            <v>UC-107, Chak 55/SB, Sargodha</v>
          </cell>
        </row>
        <row r="231">
          <cell r="E231" t="str">
            <v>UC-66, Kolowal, Sargodha</v>
          </cell>
        </row>
        <row r="232">
          <cell r="E232" t="str">
            <v>UC-100, Chak 28/SB, Sargodha</v>
          </cell>
        </row>
        <row r="233">
          <cell r="E233" t="str">
            <v>UC-102, Chak 33/SB, Sargodha</v>
          </cell>
        </row>
        <row r="234">
          <cell r="E234" t="str">
            <v>UC-103, Chak 36/SB, Sargodha</v>
          </cell>
        </row>
        <row r="235">
          <cell r="E235" t="str">
            <v>UC-66, Kolowal, Sargodha</v>
          </cell>
        </row>
        <row r="236">
          <cell r="E236" t="str">
            <v>UC-100, Chak 28/SB, Sargodha</v>
          </cell>
        </row>
        <row r="237">
          <cell r="E237" t="str">
            <v>UC-65, Chak 67/ANB, Sargodha</v>
          </cell>
        </row>
        <row r="238">
          <cell r="E238" t="str">
            <v>UC-103, Chak 36/SB, Sargodha</v>
          </cell>
        </row>
        <row r="239">
          <cell r="E239" t="str">
            <v>UC-100, Chak 28/SB, Sargodha</v>
          </cell>
        </row>
        <row r="240">
          <cell r="E240" t="str">
            <v>UC-103, Chak 36/SB, Sargodha</v>
          </cell>
        </row>
        <row r="241">
          <cell r="E241" t="str">
            <v>UC-81, Chak 34/NB, Sargodha</v>
          </cell>
        </row>
        <row r="242">
          <cell r="E242" t="str">
            <v>UC-106, Chak 45/SB, Sargodha</v>
          </cell>
        </row>
        <row r="243">
          <cell r="E243" t="str">
            <v>UC-65, Chak 67/ANB, Sargodha</v>
          </cell>
        </row>
        <row r="244">
          <cell r="E244" t="str">
            <v>UC-85, Chak 111/SB, Sargodha</v>
          </cell>
        </row>
        <row r="245">
          <cell r="E245" t="str">
            <v>UC-107, Chak 55/SB, Sargodha</v>
          </cell>
        </row>
        <row r="246">
          <cell r="E246" t="str">
            <v>UC-81, Chak 34/NB, Sargodha</v>
          </cell>
        </row>
        <row r="247">
          <cell r="E247" t="str">
            <v>UC-100, Chak 28/SB, Sargodha</v>
          </cell>
        </row>
        <row r="248">
          <cell r="E248" t="str">
            <v>UC-102, Chak 33/SB, Sargodha</v>
          </cell>
        </row>
        <row r="249">
          <cell r="E249" t="str">
            <v>UC-107, Chak 55/SB, Sargodha</v>
          </cell>
        </row>
        <row r="250">
          <cell r="E250" t="str">
            <v>UC-100, Chak 28/SB, Sargodha</v>
          </cell>
        </row>
        <row r="251">
          <cell r="E251" t="str">
            <v>UC-100, Chak 28/SB, Sargodha</v>
          </cell>
        </row>
        <row r="252">
          <cell r="E252" t="str">
            <v>MC-17, Block 5/11, Sargodha</v>
          </cell>
        </row>
        <row r="253">
          <cell r="E253" t="str">
            <v>UC-81, Chak 34/NB, Sargodha</v>
          </cell>
        </row>
        <row r="254">
          <cell r="E254" t="str">
            <v>UC-107, Chak 55/SB, Sargodha</v>
          </cell>
        </row>
        <row r="255">
          <cell r="E255" t="str">
            <v>UC-100, Chak 28/SB, Sargodha</v>
          </cell>
        </row>
        <row r="256">
          <cell r="E256" t="str">
            <v>UC-108, Chak 58/SB, Sargodha</v>
          </cell>
        </row>
        <row r="257">
          <cell r="E257" t="str">
            <v>UC-78, Chak 55/NB, Sargodha</v>
          </cell>
        </row>
        <row r="258">
          <cell r="E258" t="str">
            <v>UC-81, Chak 34/NB, Sargodha</v>
          </cell>
        </row>
        <row r="259">
          <cell r="E259" t="str">
            <v>UC-90, Chak 40/NB, Sargodha</v>
          </cell>
        </row>
        <row r="260">
          <cell r="E260" t="str">
            <v>UC-107, Chak 55/SB, Sargodha</v>
          </cell>
        </row>
        <row r="261">
          <cell r="E261" t="str">
            <v>UC-107, Chak 55/SB, Sargodha</v>
          </cell>
        </row>
        <row r="262">
          <cell r="E262" t="str">
            <v>UC-102, Chak 33/SB, Sargodha</v>
          </cell>
        </row>
        <row r="263">
          <cell r="E263" t="str">
            <v>UC-100, Chak 28/SB, Sargodha</v>
          </cell>
        </row>
        <row r="264">
          <cell r="E264" t="str">
            <v>UC-78, Chak 55/NB, Sargodha</v>
          </cell>
        </row>
        <row r="265">
          <cell r="E265" t="str">
            <v>UC-78, Chak 55/NB, Sargodha</v>
          </cell>
        </row>
        <row r="266">
          <cell r="E266" t="str">
            <v>UC-78, Chak 55/NB, Sargodha</v>
          </cell>
        </row>
        <row r="267">
          <cell r="E267" t="str">
            <v>UC-107, Chak 55/SB, Sargodha</v>
          </cell>
        </row>
        <row r="268">
          <cell r="E268" t="str">
            <v>UC-90, Chak 40/NB, Sargodha</v>
          </cell>
        </row>
        <row r="269">
          <cell r="E269" t="str">
            <v>UC-100, Chak 28/SB, Sargodha</v>
          </cell>
        </row>
        <row r="270">
          <cell r="E270" t="str">
            <v>UC-102, Chak 33/SB, Sargodha</v>
          </cell>
        </row>
        <row r="271">
          <cell r="E271" t="str">
            <v>UC-78, Chak 55/NB, Sargodha</v>
          </cell>
        </row>
        <row r="272">
          <cell r="E272" t="str">
            <v>UC-90, Chak 40/NB, Sargodha</v>
          </cell>
        </row>
        <row r="273">
          <cell r="E273" t="str">
            <v>UC-108, Chak 58/SB, Sargodha</v>
          </cell>
        </row>
        <row r="274">
          <cell r="E274" t="str">
            <v>UC-90, Chak 40/NB, Sargodha</v>
          </cell>
        </row>
        <row r="275">
          <cell r="E275" t="str">
            <v>UC-78, Chak 55/NB, Sargodha</v>
          </cell>
        </row>
        <row r="276">
          <cell r="E276" t="str">
            <v>UC-102, Chak 33/SB, Sargodha</v>
          </cell>
        </row>
        <row r="277">
          <cell r="E277" t="str">
            <v>UC-100, Chak 28/SB, Sargodha</v>
          </cell>
        </row>
        <row r="278">
          <cell r="E278" t="str">
            <v>UC-90, Chak 40/NB, Sargodha</v>
          </cell>
        </row>
        <row r="279">
          <cell r="E279" t="str">
            <v>UC-100, Chak 28/SB, Sargodha</v>
          </cell>
        </row>
        <row r="280">
          <cell r="E280" t="str">
            <v>UC-100, Chak 28/SB, Sargodha</v>
          </cell>
        </row>
        <row r="281">
          <cell r="E281" t="str">
            <v>UC-78, Chak 55/NB, Sargodha</v>
          </cell>
        </row>
        <row r="282">
          <cell r="E282" t="str">
            <v>UC-90, Chak 40/NB, Sargodha</v>
          </cell>
        </row>
        <row r="283">
          <cell r="E283" t="str">
            <v>UC-100, Chak 28/SB, Sargodha</v>
          </cell>
        </row>
        <row r="284">
          <cell r="E284" t="str">
            <v>UC-78, Chak 55/NB, Sargodha</v>
          </cell>
        </row>
        <row r="285">
          <cell r="E285" t="str">
            <v>UC-90, Chak 40/NB, Sargodha</v>
          </cell>
        </row>
        <row r="286">
          <cell r="E286" t="str">
            <v>UC-108, Chak 58/SB, Sargodha</v>
          </cell>
        </row>
        <row r="287">
          <cell r="E287" t="str">
            <v>UC-90, Chak 40/NB, Sargodha</v>
          </cell>
        </row>
        <row r="288">
          <cell r="E288" t="str">
            <v>UC-78, Chak 55/NB, Sargodha</v>
          </cell>
        </row>
        <row r="289">
          <cell r="E289" t="str">
            <v>UC-102, Chak 33/SB, Sargodha</v>
          </cell>
        </row>
        <row r="290">
          <cell r="E290" t="str">
            <v>UC-100, Chak 28/SB, Sargodha</v>
          </cell>
        </row>
        <row r="291">
          <cell r="E291" t="str">
            <v>UC-90, Chak 40/NB, Sargodha</v>
          </cell>
        </row>
        <row r="292">
          <cell r="E292" t="str">
            <v>UC-102, Chak 33/SB, Sargodha</v>
          </cell>
        </row>
        <row r="293">
          <cell r="E293" t="str">
            <v>UC-86, Chak 107/SB, Sargodha</v>
          </cell>
        </row>
        <row r="294">
          <cell r="E294" t="str">
            <v>UC-81, Chak 34/NB, Sargodha</v>
          </cell>
        </row>
        <row r="295">
          <cell r="E295" t="str">
            <v>UC-78, Chak 55/NB, Sargodha</v>
          </cell>
        </row>
        <row r="296">
          <cell r="E296" t="str">
            <v>UC-107, Chak 55/SB, Sargodha</v>
          </cell>
        </row>
        <row r="297">
          <cell r="E297" t="str">
            <v>UC-102, Chak 33/SB, Sargodha</v>
          </cell>
        </row>
        <row r="298">
          <cell r="E298" t="str">
            <v>UC-78, Chak 55/NB, Sargodha</v>
          </cell>
        </row>
        <row r="299">
          <cell r="E299" t="str">
            <v>UC-79, Ludewala, Sargodha</v>
          </cell>
        </row>
        <row r="300">
          <cell r="E300" t="str">
            <v>UC-104, Chak 42/SB, Sargodha</v>
          </cell>
        </row>
        <row r="301">
          <cell r="E301" t="str">
            <v>UC-78, Chak 55/NB, Sargodha</v>
          </cell>
        </row>
        <row r="302">
          <cell r="E302" t="str">
            <v>UC-79, Ludewala, Sargodha</v>
          </cell>
        </row>
        <row r="303">
          <cell r="E303" t="str">
            <v>UC-59, Chak 19/NB, Sargodha</v>
          </cell>
        </row>
        <row r="304">
          <cell r="E304" t="str">
            <v>UC-87, Chak 100/SB, Sargodha</v>
          </cell>
        </row>
        <row r="305">
          <cell r="E305" t="str">
            <v>UC-79, Ludewala, Sargodha</v>
          </cell>
        </row>
        <row r="306">
          <cell r="E306" t="str">
            <v>UC-104, Chak 42/SB, Sargodha</v>
          </cell>
        </row>
        <row r="307">
          <cell r="E307" t="str">
            <v>UC-81, Chak 34/NB, Sargodha</v>
          </cell>
        </row>
        <row r="308">
          <cell r="E308" t="str">
            <v>UC-78, Chak 55/NB, Sargodha</v>
          </cell>
        </row>
        <row r="309">
          <cell r="E309" t="str">
            <v>UC-104, Chak 42/SB, Sargodha</v>
          </cell>
        </row>
        <row r="310">
          <cell r="E310" t="str">
            <v>MC-16, Muqam-e-Hayat I, Sargodha</v>
          </cell>
        </row>
        <row r="311">
          <cell r="E311" t="str">
            <v>UC-87, Chak 100/SB, Sargodha</v>
          </cell>
        </row>
        <row r="312">
          <cell r="E312" t="str">
            <v>UC-79, Ludewala, Sargodha</v>
          </cell>
        </row>
        <row r="313">
          <cell r="E313" t="str">
            <v>UC-100, Chak 28/SB, Sargodha</v>
          </cell>
        </row>
        <row r="314">
          <cell r="E314" t="str">
            <v>UC-102, Chak 33/SB, Sargodha</v>
          </cell>
        </row>
        <row r="315">
          <cell r="E315" t="str">
            <v>UC-103, Chak 36/SB, Sargodha</v>
          </cell>
        </row>
        <row r="316">
          <cell r="E316" t="str">
            <v>UC-78, Chak 55/NB, Sargodha</v>
          </cell>
        </row>
        <row r="317">
          <cell r="E317" t="str">
            <v>MC-16, Muqam-e-Hayat I, Sargodha</v>
          </cell>
        </row>
        <row r="318">
          <cell r="E318" t="str">
            <v>UC-108, Chak 58/SB, Sargodha</v>
          </cell>
        </row>
        <row r="319">
          <cell r="E319" t="str">
            <v>UC-102, Chak 33/SB, Sargodha</v>
          </cell>
        </row>
        <row r="320">
          <cell r="E320" t="str">
            <v>UC-107, Chak 55/SB, Sargodha</v>
          </cell>
        </row>
        <row r="321">
          <cell r="E321" t="str">
            <v>UC-79, Ludewala, Sargodha</v>
          </cell>
        </row>
        <row r="322">
          <cell r="E322" t="str">
            <v>UC-81, Chak 34/NB, Sargodha</v>
          </cell>
        </row>
        <row r="323">
          <cell r="E323" t="str">
            <v>UC-104, Chak 42/SB, Sargodha</v>
          </cell>
        </row>
        <row r="324">
          <cell r="E324" t="str">
            <v>UC-107, Chak 55/SB, Sargodha</v>
          </cell>
        </row>
        <row r="325">
          <cell r="E325" t="str">
            <v>UC-78, Chak 55/NB, Sargodha</v>
          </cell>
        </row>
        <row r="326">
          <cell r="E326" t="str">
            <v>UC-107, Chak 55/SB, Sargodha</v>
          </cell>
        </row>
        <row r="327">
          <cell r="E327" t="str">
            <v>UC-102, Chak 33/SB, Sargodha</v>
          </cell>
        </row>
        <row r="328">
          <cell r="E328" t="str">
            <v>UC-73, Chak 100/NB, Sargodha</v>
          </cell>
        </row>
        <row r="329">
          <cell r="E329" t="str">
            <v>UC-87, Chak 100/SB, Sargodha</v>
          </cell>
        </row>
        <row r="330">
          <cell r="E330" t="str">
            <v>UC-79, Ludewala, Sargodha</v>
          </cell>
        </row>
        <row r="331">
          <cell r="E331" t="str">
            <v>UC-100, Chak 28/SB, Sargodha</v>
          </cell>
        </row>
        <row r="332">
          <cell r="E332" t="str">
            <v>UC-82, Chak 109/SB, Sargodha</v>
          </cell>
        </row>
        <row r="333">
          <cell r="E333" t="str">
            <v>UC-87, Chak 100/SB, Sargodha</v>
          </cell>
        </row>
        <row r="334">
          <cell r="E334" t="str">
            <v>UC-104, Chak 42/SB, Sargodha</v>
          </cell>
        </row>
        <row r="335">
          <cell r="E335" t="str">
            <v>UC-100, Chak 28/SB, Sargodha</v>
          </cell>
        </row>
        <row r="336">
          <cell r="E336" t="str">
            <v>UC-102, Chak 33/SB, Sargodha</v>
          </cell>
        </row>
        <row r="337">
          <cell r="E337" t="str">
            <v>UC-107, Chak 55/SB, Sargodha</v>
          </cell>
        </row>
        <row r="338">
          <cell r="E338" t="str">
            <v>UC-102, Chak 33/SB, Sargodha</v>
          </cell>
        </row>
        <row r="339">
          <cell r="E339" t="str">
            <v>UC-87, Chak 100/SB, Sargodha</v>
          </cell>
        </row>
        <row r="340">
          <cell r="E340" t="str">
            <v>UC-81, Chak 34/NB, Sargodha</v>
          </cell>
        </row>
        <row r="341">
          <cell r="E341" t="str">
            <v>UC-78, Chak 55/NB, Sargodha</v>
          </cell>
        </row>
        <row r="342">
          <cell r="E342" t="str">
            <v>UC-107, Chak 55/SB, Sargodha</v>
          </cell>
        </row>
        <row r="343">
          <cell r="E343" t="str">
            <v>UC-87, Chak 100/SB, Sargodha</v>
          </cell>
        </row>
        <row r="344">
          <cell r="E344" t="str">
            <v>UC-78, Chak 55/NB, Sargodha</v>
          </cell>
        </row>
        <row r="345">
          <cell r="E345" t="str">
            <v>UC-79, Ludewala, Sargodha</v>
          </cell>
        </row>
        <row r="346">
          <cell r="E346" t="str">
            <v>UC-104, Chak 42/SB, Sargodha</v>
          </cell>
        </row>
        <row r="347">
          <cell r="E347" t="str">
            <v>UC-78, Chak 55/NB, Sargodha</v>
          </cell>
        </row>
        <row r="348">
          <cell r="E348" t="str">
            <v>UC-79, Ludewala, Sargodha</v>
          </cell>
        </row>
        <row r="349">
          <cell r="E349" t="str">
            <v>UC-59, Chak 19/NB, Sargodha</v>
          </cell>
        </row>
        <row r="350">
          <cell r="E350" t="str">
            <v>UC-87, Chak 100/SB, Sargodha</v>
          </cell>
        </row>
        <row r="351">
          <cell r="E351" t="str">
            <v>UC-79, Ludewala, Sargodha</v>
          </cell>
        </row>
        <row r="352">
          <cell r="E352" t="str">
            <v>UC-104, Chak 42/SB, Sargodha</v>
          </cell>
        </row>
        <row r="353">
          <cell r="E353" t="str">
            <v>UC-81, Chak 34/NB, Sargodha</v>
          </cell>
        </row>
        <row r="354">
          <cell r="E354" t="str">
            <v>UC-78, Chak 55/NB, Sargodha</v>
          </cell>
        </row>
        <row r="355">
          <cell r="E355" t="str">
            <v>UC-104, Chak 42/SB, Sargodha</v>
          </cell>
        </row>
        <row r="356">
          <cell r="E356" t="str">
            <v>MC-16, Muqam-e-Hayat I, Sargodha</v>
          </cell>
        </row>
        <row r="357">
          <cell r="E357" t="str">
            <v>UC-87, Chak 100/SB, Sargodha</v>
          </cell>
        </row>
        <row r="358">
          <cell r="E358" t="str">
            <v>UC-79, Ludewala, Sargodha</v>
          </cell>
        </row>
        <row r="359">
          <cell r="E359" t="str">
            <v>UC-78, Chak 55/NB, Sargodha</v>
          </cell>
        </row>
        <row r="360">
          <cell r="E360" t="str">
            <v>UC-79, Ludewala, Sargodha</v>
          </cell>
        </row>
        <row r="361">
          <cell r="E361" t="str">
            <v>UC-86, Chak 107/SB, Sargodha</v>
          </cell>
        </row>
        <row r="362">
          <cell r="E362" t="str">
            <v>UC-104, Chak 42/SB, Sargodha</v>
          </cell>
        </row>
        <row r="363">
          <cell r="E363" t="str">
            <v>MC-16, Muqam-e-Hayat I, Sargodha</v>
          </cell>
        </row>
        <row r="364">
          <cell r="E364" t="str">
            <v>UC-108, Chak 58/SB, Sargodha</v>
          </cell>
        </row>
        <row r="365">
          <cell r="E365" t="str">
            <v>UC-102, Chak 33/SB, Sargodha</v>
          </cell>
        </row>
        <row r="366">
          <cell r="E366" t="str">
            <v>UC-107, Chak 55/SB, Sargodha</v>
          </cell>
        </row>
        <row r="367">
          <cell r="E367" t="str">
            <v>UC-79, Ludewala, Sargodha</v>
          </cell>
        </row>
        <row r="368">
          <cell r="E368" t="str">
            <v>UC-81, Chak 34/NB, Sargodha</v>
          </cell>
        </row>
        <row r="369">
          <cell r="E369" t="str">
            <v>UC-104, Chak 42/SB, Sargodha</v>
          </cell>
        </row>
        <row r="370">
          <cell r="E370" t="str">
            <v>UC-107, Chak 55/SB, Sargodha</v>
          </cell>
        </row>
        <row r="371">
          <cell r="E371" t="str">
            <v>UC-78, Chak 55/NB, Sargodha</v>
          </cell>
        </row>
        <row r="372">
          <cell r="E372" t="str">
            <v>UC-107, Chak 55/SB, Sargodha</v>
          </cell>
        </row>
        <row r="373">
          <cell r="E373" t="str">
            <v>UC-102, Chak 33/SB, Sargodha</v>
          </cell>
        </row>
        <row r="374">
          <cell r="E374" t="str">
            <v>UC-73, Chak 100/NB, Sargodha</v>
          </cell>
        </row>
        <row r="375">
          <cell r="E375" t="str">
            <v>UC-87, Chak 100/SB, Sargodha</v>
          </cell>
        </row>
        <row r="376">
          <cell r="E376" t="str">
            <v>UC-79, Ludewala, Sargodha</v>
          </cell>
        </row>
        <row r="377">
          <cell r="E377" t="str">
            <v>UC-100, Chak 28/SB, Sargodha</v>
          </cell>
        </row>
        <row r="378">
          <cell r="E378" t="str">
            <v>UC-82, Chak 109/SB, Sargodha</v>
          </cell>
        </row>
        <row r="379">
          <cell r="E379" t="str">
            <v>UC-108, Chak 58/SB, Sargodha</v>
          </cell>
        </row>
        <row r="380">
          <cell r="E380" t="str">
            <v>UC-102, Chak 33/SB, Sargodha</v>
          </cell>
        </row>
        <row r="381">
          <cell r="E381" t="str">
            <v>UC-79, Ludewala, Sargodha</v>
          </cell>
        </row>
        <row r="382">
          <cell r="E382" t="str">
            <v>UC-107, Chak 55/SB, Sargodha</v>
          </cell>
        </row>
        <row r="383">
          <cell r="E383" t="str">
            <v>UC-87, Chak 100/SB, Sargodha</v>
          </cell>
        </row>
        <row r="384">
          <cell r="E384" t="str">
            <v>UC-100, Chak 28/SB, Sargodha</v>
          </cell>
        </row>
        <row r="385">
          <cell r="E385" t="str">
            <v>UC-103, Chak 36/SB, Sargodha</v>
          </cell>
        </row>
        <row r="386">
          <cell r="E386" t="str">
            <v>UC-82, Chak 109/SB, Sargodha</v>
          </cell>
        </row>
        <row r="387">
          <cell r="E387" t="str">
            <v>MC-11, City II, Sargodha</v>
          </cell>
        </row>
        <row r="388">
          <cell r="E388" t="str">
            <v>MC-14, New Muhammadi Colony, Sargodha</v>
          </cell>
        </row>
        <row r="389">
          <cell r="E389" t="str">
            <v>MC-12, Urban Area, Sargodha</v>
          </cell>
        </row>
        <row r="390">
          <cell r="E390" t="str">
            <v>MC-11, City II, Sargodha</v>
          </cell>
        </row>
        <row r="391">
          <cell r="E391" t="str">
            <v>UC-108, Chak 58/SB, Sargodha</v>
          </cell>
        </row>
        <row r="392">
          <cell r="E392" t="str">
            <v>MC-16, Muqam-e-Hayat I, Sargodha</v>
          </cell>
        </row>
        <row r="393">
          <cell r="E393" t="str">
            <v>UC-104, Chak 42/SB, Sargodha</v>
          </cell>
        </row>
        <row r="394">
          <cell r="E394" t="str">
            <v>UC-107, Chak 55/SB, Sargodha</v>
          </cell>
        </row>
        <row r="395">
          <cell r="E395" t="str">
            <v>UC-79, Ludewala, Sargodha</v>
          </cell>
        </row>
        <row r="396">
          <cell r="E396" t="str">
            <v>UC-81, Chak 34/NB, Sargodha</v>
          </cell>
        </row>
        <row r="397">
          <cell r="E397" t="str">
            <v>UC-108, Chak 58/SB, Sargodha</v>
          </cell>
        </row>
        <row r="398">
          <cell r="E398" t="str">
            <v>UC-78, Chak 55/NB, Sargodha</v>
          </cell>
        </row>
        <row r="399">
          <cell r="E399" t="str">
            <v>MC-16, Muqam-e-Hayat I, Sargodha</v>
          </cell>
        </row>
        <row r="400">
          <cell r="E400" t="str">
            <v>UC-104, Chak 42/SB, Sargodha</v>
          </cell>
        </row>
        <row r="401">
          <cell r="E401" t="str">
            <v>UC-107, Chak 55/SB, Sargodha</v>
          </cell>
        </row>
        <row r="402">
          <cell r="E402" t="str">
            <v>MC-16, Muqam-e-Hayat I, Sargodha</v>
          </cell>
        </row>
        <row r="403">
          <cell r="E403" t="str">
            <v>UC-87, Chak 100/SB, Sargodha</v>
          </cell>
        </row>
        <row r="404">
          <cell r="E404" t="str">
            <v>UC-87, Chak 100/SB, Sargodha</v>
          </cell>
        </row>
        <row r="405">
          <cell r="E405" t="str">
            <v>UC-107, Chak 55/SB, Sargodha</v>
          </cell>
        </row>
        <row r="406">
          <cell r="E406" t="str">
            <v>MC-16, Muqam-e-Hayat I, Sargodha</v>
          </cell>
        </row>
        <row r="407">
          <cell r="E407" t="str">
            <v>UC-106, Chak 45/SB, Sargodha</v>
          </cell>
        </row>
        <row r="408">
          <cell r="E408" t="str">
            <v>UC-106, Chak 45/SB, Sargodha</v>
          </cell>
        </row>
        <row r="409">
          <cell r="E409" t="str">
            <v>UC-102, Chak 33/SB, Sargodha</v>
          </cell>
        </row>
        <row r="410">
          <cell r="E410" t="str">
            <v>UC-87, Chak 100/SB, Sargodha</v>
          </cell>
        </row>
        <row r="411">
          <cell r="E411" t="str">
            <v>UC-81, Chak 34/NB, Sargodha</v>
          </cell>
        </row>
        <row r="412">
          <cell r="E412" t="str">
            <v>UC-79, Ludewala, Sargodha</v>
          </cell>
        </row>
        <row r="413">
          <cell r="E413" t="str">
            <v>UC-107, Chak 55/SB, Sargodha</v>
          </cell>
        </row>
        <row r="414">
          <cell r="E414" t="str">
            <v>UC-108, Chak 58/SB, Sargodha</v>
          </cell>
        </row>
        <row r="415">
          <cell r="E415" t="str">
            <v>MC-16, Muqam-e-Hayat I, Sargodha</v>
          </cell>
        </row>
        <row r="416">
          <cell r="E416" t="str">
            <v>UC-59, Chak 19/NB, Sargodha</v>
          </cell>
        </row>
        <row r="417">
          <cell r="E417" t="str">
            <v>UC-79, Ludewala, Sargodha</v>
          </cell>
        </row>
        <row r="418">
          <cell r="E418" t="str">
            <v>UC-108, Chak 58/SB, Sargodha</v>
          </cell>
        </row>
        <row r="419">
          <cell r="E419" t="str">
            <v>UC-104, Chak 42/SB, Sargodha</v>
          </cell>
        </row>
        <row r="420">
          <cell r="E420" t="str">
            <v>UC-59, Chak 19/NB, Sargodha</v>
          </cell>
        </row>
        <row r="421">
          <cell r="E421" t="str">
            <v>MC-16, Muqam-e-Hayat I, Sargodha</v>
          </cell>
        </row>
        <row r="422">
          <cell r="E422" t="str">
            <v>UC-73, Chak 100/NB, Sargodha</v>
          </cell>
        </row>
        <row r="423">
          <cell r="E423" t="str">
            <v>UC-100, Chak 28/SB, Sargodha</v>
          </cell>
        </row>
        <row r="424">
          <cell r="E424" t="str">
            <v>UC-102, Chak 33/SB, Sargodha</v>
          </cell>
        </row>
        <row r="425">
          <cell r="E425" t="str">
            <v>UC-100, Chak 28/SB, Sargodha</v>
          </cell>
        </row>
        <row r="426">
          <cell r="E426" t="str">
            <v>UC-87, Chak 100/SB, Sargodha</v>
          </cell>
        </row>
        <row r="427">
          <cell r="E427" t="str">
            <v>UC-79, Ludewala, Sargodha</v>
          </cell>
        </row>
        <row r="428">
          <cell r="E428" t="str">
            <v>UC-82, Chak 109/SB, Sargodha</v>
          </cell>
        </row>
        <row r="429">
          <cell r="E429" t="str">
            <v>UC-87, Chak 100/SB, Sargodha</v>
          </cell>
        </row>
        <row r="430">
          <cell r="E430" t="str">
            <v>UC-100, Chak 28/SB, Sargodha</v>
          </cell>
        </row>
        <row r="431">
          <cell r="E431" t="str">
            <v>MC-22, Istaqlalabad, Sargodha</v>
          </cell>
        </row>
        <row r="432">
          <cell r="E432" t="str">
            <v>MC-7, Rehmanpura 02, Sargodha</v>
          </cell>
        </row>
        <row r="433">
          <cell r="E433" t="str">
            <v>MC-22, Istaqlalabad, Sargodha</v>
          </cell>
        </row>
        <row r="434">
          <cell r="E434" t="str">
            <v>MC-14, New Muhammadi Colony, Sargodha</v>
          </cell>
        </row>
        <row r="435">
          <cell r="E435" t="str">
            <v>MC-22, Istaqlalabad, Sargodha</v>
          </cell>
        </row>
        <row r="436">
          <cell r="E436" t="str">
            <v>MC-11, City II, Sargodha</v>
          </cell>
        </row>
        <row r="437">
          <cell r="E437" t="str">
            <v>MC-12, Urban Area, Sargodha</v>
          </cell>
        </row>
        <row r="438">
          <cell r="E438" t="str">
            <v>MC-22, Istaqlalabad, Sargodha</v>
          </cell>
        </row>
        <row r="439">
          <cell r="E439" t="str">
            <v>MC-22, Istaqlalabad, Sargodha</v>
          </cell>
        </row>
        <row r="440">
          <cell r="E440" t="str">
            <v>MC-14, New Muhammadi Colony, Sargodha</v>
          </cell>
        </row>
        <row r="441">
          <cell r="E441" t="str">
            <v>MC-11, City II, Sargodha</v>
          </cell>
        </row>
        <row r="442">
          <cell r="E442" t="str">
            <v>MC-22, Istaqlalabad, Sargodha</v>
          </cell>
        </row>
        <row r="443">
          <cell r="E443" t="str">
            <v>MC-7, Rehmanpura 02, Sargodha</v>
          </cell>
        </row>
        <row r="444">
          <cell r="E444" t="str">
            <v>MC-22, Istaqlalabad, Sargodha</v>
          </cell>
        </row>
        <row r="445">
          <cell r="E445" t="str">
            <v>MC-18, City I, Sargodha</v>
          </cell>
        </row>
        <row r="446">
          <cell r="E446" t="str">
            <v>MC-14, New Muhammadi Colony, Sargodha</v>
          </cell>
        </row>
        <row r="447">
          <cell r="E447" t="str">
            <v>MC-7, Rehmanpura 02, Sargodha</v>
          </cell>
        </row>
        <row r="448">
          <cell r="E448" t="str">
            <v>MC-18, City I, Sargodha</v>
          </cell>
        </row>
        <row r="449">
          <cell r="E449" t="str">
            <v>MC-22, Istaqlalabad, Sargodha</v>
          </cell>
        </row>
        <row r="450">
          <cell r="E450" t="str">
            <v>MC-12, Urban Area, Sargodha</v>
          </cell>
        </row>
        <row r="451">
          <cell r="E451" t="str">
            <v>MC-18, City I, Sargodha</v>
          </cell>
        </row>
        <row r="452">
          <cell r="E452" t="str">
            <v>MC-7, Rehmanpura 02, Sargodha</v>
          </cell>
        </row>
        <row r="453">
          <cell r="E453" t="str">
            <v>MC-11, City II, Sargodha</v>
          </cell>
        </row>
        <row r="454">
          <cell r="E454" t="str">
            <v>MC-22, Istaqlalabad, Sargodha</v>
          </cell>
        </row>
        <row r="455">
          <cell r="E455" t="str">
            <v>MC-18, City I, Sargodha</v>
          </cell>
        </row>
        <row r="456">
          <cell r="E456" t="str">
            <v>MC-14, New Muhammadi Colony, Sargodha</v>
          </cell>
        </row>
        <row r="457">
          <cell r="E457" t="str">
            <v>MC-12, Urban Area, Sargodha</v>
          </cell>
        </row>
        <row r="458">
          <cell r="E458" t="str">
            <v>MC-7, Rehmanpura 02, Sargodha</v>
          </cell>
        </row>
        <row r="459">
          <cell r="E459" t="str">
            <v>MC-14, New Muhammadi Colony, Sargodha</v>
          </cell>
        </row>
        <row r="460">
          <cell r="E460" t="str">
            <v>MC-18, City I, Sargodha</v>
          </cell>
        </row>
        <row r="461">
          <cell r="E461" t="str">
            <v>MC-11, City II, Sargodha</v>
          </cell>
        </row>
        <row r="462">
          <cell r="E462" t="str">
            <v>MC-11, City II, Sargodha</v>
          </cell>
        </row>
        <row r="463">
          <cell r="E463" t="str">
            <v>MC-7, Rehmanpura 02, Sargodha</v>
          </cell>
        </row>
        <row r="464">
          <cell r="E464" t="str">
            <v>MC-22, Istaqlalabad, Sargodha</v>
          </cell>
        </row>
        <row r="465">
          <cell r="E465" t="str">
            <v>MC-12, Urban Area, Sargodha</v>
          </cell>
        </row>
        <row r="466">
          <cell r="E466" t="str">
            <v>MC-11, City II, Sargodha</v>
          </cell>
        </row>
        <row r="467">
          <cell r="E467" t="str">
            <v>MC-22, Istaqlalabad, Sargodha</v>
          </cell>
        </row>
        <row r="468">
          <cell r="E468" t="str">
            <v>MC-18, City I, Sargodha</v>
          </cell>
        </row>
        <row r="469">
          <cell r="E469" t="str">
            <v>MC-11, City II, Sargodha</v>
          </cell>
        </row>
        <row r="470">
          <cell r="E470" t="str">
            <v>MC-7, Rehmanpura 02, Sargodha</v>
          </cell>
        </row>
        <row r="471">
          <cell r="E471" t="str">
            <v>MC-11, City II, Sargodha</v>
          </cell>
        </row>
        <row r="472">
          <cell r="E472" t="str">
            <v>MC-18, City I, Sargodha</v>
          </cell>
        </row>
        <row r="473">
          <cell r="E473" t="str">
            <v>MC-22, Istaqlalabad, Sargodha</v>
          </cell>
        </row>
        <row r="474">
          <cell r="E474" t="str">
            <v>MC-7, Rehmanpura 02, Sargodha</v>
          </cell>
        </row>
        <row r="475">
          <cell r="E475" t="str">
            <v>MC-18, City I, Sargodha</v>
          </cell>
        </row>
        <row r="476">
          <cell r="E476" t="str">
            <v>MC-12, Urban Area, Sargodha</v>
          </cell>
        </row>
        <row r="477">
          <cell r="E477" t="str">
            <v>MC-14, New Muhammadi Colony, Sargodha</v>
          </cell>
        </row>
        <row r="478">
          <cell r="E478" t="str">
            <v>MC-11, City II, Sargodha</v>
          </cell>
        </row>
        <row r="479">
          <cell r="E479" t="str">
            <v>MC-11, City II, Sargodha</v>
          </cell>
        </row>
        <row r="480">
          <cell r="E480" t="str">
            <v>MC-22, Istaqlalabad, Sargodha</v>
          </cell>
        </row>
        <row r="481">
          <cell r="E481" t="str">
            <v>MC-18, City I, Sargodha</v>
          </cell>
        </row>
        <row r="482">
          <cell r="E482" t="str">
            <v>MC-7, Rehmanpura 02, Sargodha</v>
          </cell>
        </row>
        <row r="483">
          <cell r="E483" t="str">
            <v>MC-11, City II, Sargodha</v>
          </cell>
        </row>
        <row r="484">
          <cell r="E484" t="str">
            <v>MC-14, New Muhammadi Colony, Sargodha</v>
          </cell>
        </row>
        <row r="485">
          <cell r="E485" t="str">
            <v>MC-11, City II, Sargodha</v>
          </cell>
        </row>
        <row r="486">
          <cell r="E486" t="str">
            <v>MC-14, New Muhammadi Colony, Sargodha</v>
          </cell>
        </row>
        <row r="487">
          <cell r="E487" t="str">
            <v>MC-7, Rehmanpura 02, Sargodha</v>
          </cell>
        </row>
        <row r="488">
          <cell r="E488" t="str">
            <v>MC-11, City II, Sargodha</v>
          </cell>
        </row>
        <row r="489">
          <cell r="E489" t="str">
            <v>MC-18, City I, Sargodha</v>
          </cell>
        </row>
        <row r="490">
          <cell r="E490" t="str">
            <v>MC-14, New Muhammadi Colony, Sargodha</v>
          </cell>
        </row>
        <row r="491">
          <cell r="E491" t="str">
            <v>MC-7, Rehmanpura 02, Sargodha</v>
          </cell>
        </row>
        <row r="492">
          <cell r="E492" t="str">
            <v>MC-12, Urban Area, Sargodha</v>
          </cell>
        </row>
        <row r="493">
          <cell r="E493" t="str">
            <v>MC-18, City I, Sargodha</v>
          </cell>
        </row>
        <row r="494">
          <cell r="E494" t="str">
            <v>MC-11, City II, Sargodha</v>
          </cell>
        </row>
        <row r="495">
          <cell r="E495" t="str">
            <v>MC-12, Urban Area, Sargodha</v>
          </cell>
        </row>
        <row r="496">
          <cell r="E496" t="str">
            <v>MC-7, Rehmanpura 02, Sargodha</v>
          </cell>
        </row>
        <row r="497">
          <cell r="E497" t="str">
            <v>MC-18, City I, Sargodha</v>
          </cell>
        </row>
        <row r="498">
          <cell r="E498" t="str">
            <v>MC-11, City II, Sargodha</v>
          </cell>
        </row>
        <row r="499">
          <cell r="E499" t="str">
            <v>MC-11, City II, Sargodha</v>
          </cell>
        </row>
        <row r="500">
          <cell r="E500" t="str">
            <v>MC-7, Rehmanpura 02, Sargodha</v>
          </cell>
        </row>
        <row r="501">
          <cell r="E501" t="str">
            <v>MC-18, City I, Sargodha</v>
          </cell>
        </row>
        <row r="502">
          <cell r="E502" t="str">
            <v>MC-11, City II, Sargodha</v>
          </cell>
        </row>
        <row r="503">
          <cell r="E503" t="str">
            <v>MC-11, City II, Sargodha</v>
          </cell>
        </row>
        <row r="504">
          <cell r="E504" t="str">
            <v>MC-22, Istaqlalabad, Sargodha</v>
          </cell>
        </row>
        <row r="505">
          <cell r="E505" t="str">
            <v>MC-18, City I, Sargodha</v>
          </cell>
        </row>
        <row r="506">
          <cell r="E506" t="str">
            <v>MC-18, City I, Sargodha</v>
          </cell>
        </row>
        <row r="507">
          <cell r="E507" t="str">
            <v>MC-22, Istaqlalabad, Sargodha</v>
          </cell>
        </row>
        <row r="508">
          <cell r="E508" t="str">
            <v>MC-18, City I, Sargodha</v>
          </cell>
        </row>
        <row r="509">
          <cell r="E509" t="str">
            <v>MC-22, Istaqlalabad, Sargodha</v>
          </cell>
        </row>
        <row r="510">
          <cell r="E510" t="str">
            <v>MC-18, City I, Sargodha</v>
          </cell>
        </row>
        <row r="511">
          <cell r="E511" t="str">
            <v>MC-18, City I, Sargodha</v>
          </cell>
        </row>
        <row r="512">
          <cell r="E512" t="str">
            <v>MC-22, Istaqlalabad, Sargodha</v>
          </cell>
        </row>
        <row r="513">
          <cell r="E513" t="str">
            <v>MC-22, Istaqlalabad, Sargodha</v>
          </cell>
        </row>
        <row r="514">
          <cell r="E514" t="str">
            <v>MC-18, City I, Sargodha</v>
          </cell>
        </row>
        <row r="515">
          <cell r="E515" t="str">
            <v>MC-18, City I, Sargodha</v>
          </cell>
        </row>
        <row r="516">
          <cell r="E516" t="str">
            <v>MC-22, Istaqlalabad, Sargodha</v>
          </cell>
        </row>
        <row r="517">
          <cell r="E517" t="str">
            <v>MC-18, City I, Sargodha</v>
          </cell>
        </row>
        <row r="518">
          <cell r="E518" t="str">
            <v>MC-22, Istaqlalabad, Sargodha</v>
          </cell>
        </row>
        <row r="519">
          <cell r="E519" t="str">
            <v>MC-18, City I, Sargodha</v>
          </cell>
        </row>
        <row r="520">
          <cell r="E520" t="str">
            <v>MC-18, City I, Sargodha</v>
          </cell>
        </row>
        <row r="521">
          <cell r="E521" t="str">
            <v>MC-18, City I, Sargodha</v>
          </cell>
        </row>
        <row r="522">
          <cell r="E522" t="str">
            <v>MC-18, City I, Sargodha</v>
          </cell>
        </row>
        <row r="523">
          <cell r="E523" t="str">
            <v>MC-18, City I, Sargodha</v>
          </cell>
        </row>
        <row r="524">
          <cell r="E524" t="str">
            <v>MC-18, City I, Sargodha</v>
          </cell>
        </row>
        <row r="525">
          <cell r="E525" t="str">
            <v>MC-18, City I, Sargodha</v>
          </cell>
        </row>
        <row r="526">
          <cell r="E526" t="str">
            <v>MC-18, City I, Sargodha</v>
          </cell>
        </row>
        <row r="527">
          <cell r="E527" t="str">
            <v>MC-11, City II, Sargodha</v>
          </cell>
        </row>
        <row r="528">
          <cell r="E528" t="str">
            <v>MC-18, City I, Sargodha</v>
          </cell>
        </row>
        <row r="529">
          <cell r="E529" t="str">
            <v>MC-18, City I, Sargodha</v>
          </cell>
        </row>
        <row r="530">
          <cell r="E530" t="str">
            <v>MC-18, City I, Sargodha</v>
          </cell>
        </row>
        <row r="531">
          <cell r="E531" t="str">
            <v>MC-18, City I, Sargodha</v>
          </cell>
        </row>
        <row r="532">
          <cell r="E532" t="str">
            <v>MC-18, City I, Sargodha</v>
          </cell>
        </row>
        <row r="533">
          <cell r="E533" t="str">
            <v>MC-18, City I, Sargodha</v>
          </cell>
        </row>
        <row r="534">
          <cell r="E534" t="str">
            <v>MC-18, City I, Sargodha</v>
          </cell>
        </row>
        <row r="535">
          <cell r="E535" t="str">
            <v>MC-18, City I, Sargodha</v>
          </cell>
        </row>
        <row r="536">
          <cell r="E536" t="str">
            <v>MC-18, City I, Sargodha</v>
          </cell>
        </row>
        <row r="537">
          <cell r="E537" t="str">
            <v>MC-18, City I, Sargodha</v>
          </cell>
        </row>
        <row r="538">
          <cell r="E538" t="str">
            <v>MC-18, City I, Sargodha</v>
          </cell>
        </row>
        <row r="539">
          <cell r="E539" t="str">
            <v>MC-18, City I, Sargodha</v>
          </cell>
        </row>
        <row r="540">
          <cell r="E540" t="str">
            <v>MC-18, City I, Sargodha</v>
          </cell>
        </row>
        <row r="541">
          <cell r="E541" t="str">
            <v>MC-18, City I, Sargodha</v>
          </cell>
        </row>
        <row r="542">
          <cell r="E542" t="str">
            <v>MC-18, City I, Sargodha</v>
          </cell>
        </row>
        <row r="543">
          <cell r="E543" t="str">
            <v>UC-79, Ludewala, Sargodha</v>
          </cell>
        </row>
        <row r="544">
          <cell r="E544" t="str">
            <v>UC-86, Chak 107/SB, Sargodha</v>
          </cell>
        </row>
        <row r="545">
          <cell r="E545" t="str">
            <v>UC-86, Chak 107/SB, Sargodha</v>
          </cell>
        </row>
        <row r="546">
          <cell r="E546" t="str">
            <v>UC-88, Chak 96/SB, Sargodha</v>
          </cell>
        </row>
        <row r="547">
          <cell r="E547" t="str">
            <v>UC-105, Chak 52/SB, Sargodha</v>
          </cell>
        </row>
        <row r="548">
          <cell r="E548" t="str">
            <v>UC-79, Ludewala, Sargodha</v>
          </cell>
        </row>
        <row r="549">
          <cell r="E549" t="str">
            <v>UC-86, Chak 107/SB, Sargodha</v>
          </cell>
        </row>
        <row r="550">
          <cell r="E550" t="str">
            <v>UC-86, Chak 107/SB, Sargodha</v>
          </cell>
        </row>
        <row r="551">
          <cell r="E551" t="str">
            <v>UC-88, Chak 96/SB, Sargodha</v>
          </cell>
        </row>
        <row r="552">
          <cell r="E552" t="str">
            <v>UC-105, Chak 52/SB, Sargodha</v>
          </cell>
        </row>
        <row r="553">
          <cell r="E553" t="str">
            <v>UC-100, Chak 28/SB, Sargodha</v>
          </cell>
        </row>
        <row r="554">
          <cell r="E554" t="str">
            <v>UC-71, Chak 97/NB, Sargodha</v>
          </cell>
        </row>
        <row r="555">
          <cell r="E555" t="str">
            <v>UC-100, Chak 28/SB, Sargodha</v>
          </cell>
        </row>
        <row r="556">
          <cell r="E556" t="str">
            <v>UC-100, Chak 28/SB, Sargodha</v>
          </cell>
        </row>
        <row r="557">
          <cell r="E557" t="str">
            <v>UC-105, Chak 52/SB, Sargodha</v>
          </cell>
        </row>
        <row r="558">
          <cell r="E558" t="str">
            <v>UC-102, Chak 33/SB, Sargodha</v>
          </cell>
        </row>
        <row r="559">
          <cell r="E559" t="str">
            <v>UC-100, Chak 28/SB, Sargodha</v>
          </cell>
        </row>
        <row r="560">
          <cell r="E560" t="str">
            <v>UC 67 93 NB</v>
          </cell>
        </row>
        <row r="561">
          <cell r="E561" t="str">
            <v>UC-71, Chak 97/NB, Sargodha</v>
          </cell>
        </row>
        <row r="562">
          <cell r="E562" t="str">
            <v>UC-100, Chak 28/SB, Sargodha</v>
          </cell>
        </row>
        <row r="563">
          <cell r="E563" t="str">
            <v>UC-68, Chak 92/NB, Sargodha</v>
          </cell>
        </row>
        <row r="564">
          <cell r="E564" t="str">
            <v>UC-71, Chak 97/NB, Sargodha</v>
          </cell>
        </row>
        <row r="565">
          <cell r="E565" t="str">
            <v>UC-81, Chak 34/NB, Sargodha</v>
          </cell>
        </row>
        <row r="566">
          <cell r="E566" t="str">
            <v>UC-100, Chak 28/SB, Sargodha</v>
          </cell>
        </row>
        <row r="567">
          <cell r="E567" t="str">
            <v>UC-105, Chak 52/SB, Sargodha</v>
          </cell>
        </row>
        <row r="568">
          <cell r="E568" t="str">
            <v>UC-100, Chak 28/SB, Sargodha</v>
          </cell>
        </row>
        <row r="569">
          <cell r="E569" t="str">
            <v>UC-71, Chak 97/NB, Sargodha</v>
          </cell>
        </row>
        <row r="570">
          <cell r="E570" t="str">
            <v>UC 67 93 NB</v>
          </cell>
        </row>
        <row r="571">
          <cell r="E571" t="str">
            <v>UC-101, Chak 30/SB, Sargodha</v>
          </cell>
        </row>
        <row r="572">
          <cell r="E572" t="str">
            <v>UC-68, Chak 92/NB, Sargodha</v>
          </cell>
        </row>
        <row r="573">
          <cell r="E573" t="str">
            <v>UC-80, Chak 36/NB, Sargodha</v>
          </cell>
        </row>
        <row r="574">
          <cell r="E574" t="str">
            <v>UC-100, Chak 28/SB, Sargodha</v>
          </cell>
        </row>
        <row r="575">
          <cell r="E575" t="str">
            <v>UC-102, Chak 33/SB, Sargodha</v>
          </cell>
        </row>
        <row r="576">
          <cell r="E576" t="str">
            <v>UC 67 93 NB</v>
          </cell>
        </row>
        <row r="577">
          <cell r="E577" t="str">
            <v>MC-11, City II, Sargodha</v>
          </cell>
        </row>
        <row r="578">
          <cell r="E578" t="str">
            <v>MC-18, City I, Sargodha</v>
          </cell>
        </row>
        <row r="579">
          <cell r="E579" t="str">
            <v>MC-11, City II, Sargodha</v>
          </cell>
        </row>
        <row r="580">
          <cell r="E580" t="str">
            <v>MC-11, City II, Sargodha</v>
          </cell>
        </row>
        <row r="581">
          <cell r="E581" t="str">
            <v>MC-18, City I, Sargodha</v>
          </cell>
        </row>
        <row r="582">
          <cell r="E582" t="str">
            <v>MC-18, City I, Sargodha</v>
          </cell>
        </row>
        <row r="583">
          <cell r="E583" t="str">
            <v>MC-14, New Muhammadi Colony, Sargodha</v>
          </cell>
        </row>
        <row r="584">
          <cell r="E584" t="str">
            <v>UC-107, Chak 55/SB, Sargodha</v>
          </cell>
        </row>
        <row r="585">
          <cell r="E585" t="str">
            <v>UC-80, Chak 36/NB, Sargodha</v>
          </cell>
        </row>
        <row r="586">
          <cell r="E586" t="str">
            <v>UC-103, Chak 36/SB, Sargodha</v>
          </cell>
        </row>
        <row r="587">
          <cell r="E587" t="str">
            <v>UC-79, Ludewala, Sargodha</v>
          </cell>
        </row>
        <row r="588">
          <cell r="E588" t="str">
            <v>UC-83, Chak 50/NB, Sargodha</v>
          </cell>
        </row>
        <row r="589">
          <cell r="E589" t="str">
            <v>UC-101, Chak 30/SB, Sargodha</v>
          </cell>
        </row>
        <row r="590">
          <cell r="E590" t="str">
            <v>UC-103, Chak 36/SB, Sargodha</v>
          </cell>
        </row>
        <row r="591">
          <cell r="E591" t="str">
            <v>UC-80, Chak 36/NB, Sargodha</v>
          </cell>
        </row>
        <row r="592">
          <cell r="E592" t="str">
            <v>UC-103, Chak 36/SB, Sargodha</v>
          </cell>
        </row>
        <row r="593">
          <cell r="E593" t="str">
            <v>UC-83, Chak 50/NB, Sargodha</v>
          </cell>
        </row>
        <row r="594">
          <cell r="E594" t="str">
            <v>UC-108, Chak 58/SB, Sargodha</v>
          </cell>
        </row>
        <row r="595">
          <cell r="E595" t="str">
            <v>UC-71, Chak 97/NB, Sargodha</v>
          </cell>
        </row>
        <row r="596">
          <cell r="E596" t="str">
            <v>UC-103, Chak 36/SB, Sargodha</v>
          </cell>
        </row>
        <row r="597">
          <cell r="E597" t="str">
            <v>UC-107, Chak 55/SB, Sargodha</v>
          </cell>
        </row>
        <row r="598">
          <cell r="E598" t="str">
            <v>MC-14, New Muhammadi Colony, Sargodha</v>
          </cell>
        </row>
        <row r="599">
          <cell r="E599" t="str">
            <v>MC-12, Urban Area, Sargodha</v>
          </cell>
        </row>
        <row r="600">
          <cell r="E600" t="str">
            <v>MC-14, New Muhammadi Colony, Sargodha</v>
          </cell>
        </row>
        <row r="601">
          <cell r="E601" t="str">
            <v>MC-18, City I, Sargodha</v>
          </cell>
        </row>
        <row r="602">
          <cell r="E602" t="str">
            <v>MC-14, New Muhammadi Colony, Sargodha</v>
          </cell>
        </row>
        <row r="603">
          <cell r="E603" t="str">
            <v>MC-11, City II, Sargodha</v>
          </cell>
        </row>
        <row r="604">
          <cell r="E604" t="str">
            <v>MC-11, City II, Sargodha</v>
          </cell>
        </row>
        <row r="605">
          <cell r="E605" t="str">
            <v>UC-79, Ludewala, Sargodha</v>
          </cell>
        </row>
        <row r="606">
          <cell r="E606" t="str">
            <v>UC-86, Chak 107/SB, Sargodha</v>
          </cell>
        </row>
        <row r="607">
          <cell r="E607" t="str">
            <v>UC-86, Chak 107/SB, Sargodha</v>
          </cell>
        </row>
        <row r="608">
          <cell r="E608" t="str">
            <v>UC-88, Chak 96/SB, Sargodha</v>
          </cell>
        </row>
        <row r="609">
          <cell r="E609" t="str">
            <v>UC-105, Chak 52/SB, Sargodha</v>
          </cell>
        </row>
        <row r="610">
          <cell r="E610" t="str">
            <v>UC-100, Chak 28/SB, Sargodha</v>
          </cell>
        </row>
        <row r="611">
          <cell r="E611" t="str">
            <v>UC-88, Chak 96/SB, Sargodha</v>
          </cell>
        </row>
        <row r="612">
          <cell r="E612" t="str">
            <v>UC 67 93 NB</v>
          </cell>
        </row>
        <row r="613">
          <cell r="E613" t="str">
            <v>UC-67, Chak 82/NB, Sargodha</v>
          </cell>
        </row>
        <row r="614">
          <cell r="E614" t="str">
            <v>UC-83, Chak 50/NB, Sargodha</v>
          </cell>
        </row>
        <row r="615">
          <cell r="E615" t="str">
            <v>UC-101, Chak 30/SB, Sargodha</v>
          </cell>
        </row>
        <row r="616">
          <cell r="E616" t="str">
            <v>UC-107, Chak 55/SB, Sargodha</v>
          </cell>
        </row>
        <row r="617">
          <cell r="E617" t="str">
            <v>UC-100, Chak 28/SB, Sargodha</v>
          </cell>
        </row>
        <row r="618">
          <cell r="E618" t="str">
            <v>UC-89, Chak 88/SB, Sargodha</v>
          </cell>
        </row>
        <row r="619">
          <cell r="E619" t="str">
            <v>UC-71, Chak 97/NB, Sargodha</v>
          </cell>
        </row>
        <row r="620">
          <cell r="E620" t="str">
            <v>UC-83, Chak 50/NB, Sargodha</v>
          </cell>
        </row>
        <row r="621">
          <cell r="E621" t="str">
            <v>UC-101, Chak 30/SB, Sargodha</v>
          </cell>
        </row>
        <row r="622">
          <cell r="E622" t="str">
            <v>UC-103, Chak 36/SB, Sargodha</v>
          </cell>
        </row>
        <row r="623">
          <cell r="E623" t="str">
            <v>UC-89, Chak 88/SB, Sargodha</v>
          </cell>
        </row>
        <row r="624">
          <cell r="E624" t="str">
            <v>UC 67 93 NB</v>
          </cell>
        </row>
        <row r="625">
          <cell r="E625" t="str">
            <v>UC-71, Chak 97/NB, Sargodha</v>
          </cell>
        </row>
        <row r="626">
          <cell r="E626" t="str">
            <v>UC-100, Chak 28/SB, Sargodha</v>
          </cell>
        </row>
        <row r="627">
          <cell r="E627" t="str">
            <v>UC-68, Chak 92/NB, Sargodha</v>
          </cell>
        </row>
        <row r="628">
          <cell r="E628" t="str">
            <v>UC-71, Chak 97/NB, Sargodha</v>
          </cell>
        </row>
        <row r="629">
          <cell r="E629" t="str">
            <v>UC-81, Chak 34/NB, Sargodha</v>
          </cell>
        </row>
        <row r="630">
          <cell r="E630" t="str">
            <v>UC-100, Chak 28/SB, Sargodha</v>
          </cell>
        </row>
        <row r="631">
          <cell r="E631" t="str">
            <v>UC-83, Chak 50/NB, Sargodha</v>
          </cell>
        </row>
        <row r="632">
          <cell r="E632" t="str">
            <v>UC-89, Chak 88/SB, Sargodha</v>
          </cell>
        </row>
        <row r="633">
          <cell r="E633" t="str">
            <v>UC-103, Chak 36/SB, Sargodha</v>
          </cell>
        </row>
        <row r="634">
          <cell r="E634" t="str">
            <v>UC-71, Chak 97/NB, Sargodha</v>
          </cell>
        </row>
        <row r="635">
          <cell r="E635" t="str">
            <v>UC-83, Chak 50/NB, Sargodha</v>
          </cell>
        </row>
        <row r="636">
          <cell r="E636" t="str">
            <v>UC-71, Chak 97/NB, Sargodha</v>
          </cell>
        </row>
        <row r="637">
          <cell r="E637" t="str">
            <v>UC-89, Chak 88/SB, Sargodha</v>
          </cell>
        </row>
        <row r="638">
          <cell r="E638" t="str">
            <v>UC-107, Chak 55/SB, Sargodha</v>
          </cell>
        </row>
        <row r="639">
          <cell r="E639" t="str">
            <v>UC-71, Chak 97/NB, Sargodha</v>
          </cell>
        </row>
        <row r="640">
          <cell r="E640" t="str">
            <v>UC-83, Chak 50/NB, Sargodha</v>
          </cell>
        </row>
        <row r="641">
          <cell r="E641" t="str">
            <v>UC-71, Chak 97/NB, Sargodha</v>
          </cell>
        </row>
        <row r="642">
          <cell r="E642" t="str">
            <v>UC-79, Ludewala, Sargodha</v>
          </cell>
        </row>
        <row r="643">
          <cell r="E643" t="str">
            <v>UC-107, Chak 55/SB, Sargodha</v>
          </cell>
        </row>
        <row r="644">
          <cell r="E644" t="str">
            <v>UC-89, Chak 88/SB, Sargodha</v>
          </cell>
        </row>
        <row r="645">
          <cell r="E645" t="str">
            <v>UC-107, Chak 55/SB, Sargodha</v>
          </cell>
        </row>
        <row r="646">
          <cell r="E646" t="str">
            <v>UC-108, Chak 58/SB, Sargodha</v>
          </cell>
        </row>
        <row r="647">
          <cell r="E647" t="str">
            <v>UC-71, Chak 97/NB, Sargodha</v>
          </cell>
        </row>
        <row r="648">
          <cell r="E648" t="str">
            <v>UC-79, Ludewala, Sargodha</v>
          </cell>
        </row>
        <row r="649">
          <cell r="E649" t="str">
            <v>UC-102, Chak 33/SB, Sargodha</v>
          </cell>
        </row>
        <row r="650">
          <cell r="E650" t="str">
            <v>UC-71, Chak 97/NB, Sargodha</v>
          </cell>
        </row>
        <row r="651">
          <cell r="E651" t="str">
            <v>UC-103, Chak 36/SB, Sargodha</v>
          </cell>
        </row>
        <row r="652">
          <cell r="E652" t="str">
            <v>UC-83, Chak 50/NB, Sargodha</v>
          </cell>
        </row>
        <row r="653">
          <cell r="E653" t="str">
            <v>UC-71, Chak 97/NB, Sargodha</v>
          </cell>
        </row>
        <row r="654">
          <cell r="E654" t="str">
            <v>UC-65, Chak 67/ANB, Sargodha</v>
          </cell>
        </row>
        <row r="655">
          <cell r="E655" t="str">
            <v>UC-79, Ludewala, Sargodha</v>
          </cell>
        </row>
        <row r="656">
          <cell r="E656" t="str">
            <v>UC-83, Chak 50/NB, Sargodha</v>
          </cell>
        </row>
        <row r="657">
          <cell r="E657" t="str">
            <v>UC-103, Chak 36/SB, Sargodha</v>
          </cell>
        </row>
        <row r="658">
          <cell r="E658" t="str">
            <v>UC-87, Chak 100/SB, Sargodha</v>
          </cell>
        </row>
        <row r="659">
          <cell r="E659" t="str">
            <v>UC-89, Chak 88/SB, Sargodha</v>
          </cell>
        </row>
        <row r="660">
          <cell r="E660" t="str">
            <v>UC-83, Chak 50/NB, Sargodha</v>
          </cell>
        </row>
        <row r="661">
          <cell r="E661" t="str">
            <v>UC-108, Chak 58/SB, Sargodha</v>
          </cell>
        </row>
        <row r="662">
          <cell r="E662" t="str">
            <v>UC-106, Chak 45/SB, Sargodha</v>
          </cell>
        </row>
        <row r="663">
          <cell r="E663" t="str">
            <v>UC-106, Chak 45/SB, Sargodha</v>
          </cell>
        </row>
        <row r="664">
          <cell r="E664" t="str">
            <v>UC-106, Chak 45/SB, Sargodha</v>
          </cell>
        </row>
        <row r="665">
          <cell r="E665" t="str">
            <v>UC-86, Chak 107/SB, Sargodha</v>
          </cell>
        </row>
        <row r="666">
          <cell r="E666" t="str">
            <v>UC-83, Chak 50/NB, Sargodha</v>
          </cell>
        </row>
        <row r="667">
          <cell r="E667" t="str">
            <v>UC-85, Chak 111/SB, Sargodha</v>
          </cell>
        </row>
        <row r="668">
          <cell r="E668" t="str">
            <v>UC-89, Chak 88/SB, Sargodha</v>
          </cell>
        </row>
        <row r="669">
          <cell r="E669" t="str">
            <v>UC-79, Ludewala, Sargodha</v>
          </cell>
        </row>
        <row r="670">
          <cell r="E670" t="str">
            <v>UC-107, Chak 55/SB, Sargodha</v>
          </cell>
        </row>
        <row r="671">
          <cell r="E671" t="str">
            <v>UC-103, Chak 36/SB, Sargodha</v>
          </cell>
        </row>
        <row r="672">
          <cell r="E672" t="str">
            <v>UC-108, Chak 58/SB, Sargodha</v>
          </cell>
        </row>
        <row r="673">
          <cell r="E673" t="str">
            <v>UC-107, Chak 55/SB, Sargodha</v>
          </cell>
        </row>
        <row r="674">
          <cell r="E674" t="str">
            <v>UC-83, Chak 50/NB, Sargodha</v>
          </cell>
        </row>
        <row r="675">
          <cell r="E675" t="str">
            <v>UC-79, Ludewala, Sargodha</v>
          </cell>
        </row>
        <row r="676">
          <cell r="E676" t="str">
            <v>UC-85, Chak 111/SB, Sargodha</v>
          </cell>
        </row>
        <row r="677">
          <cell r="E677" t="str">
            <v>UC-89, Chak 88/SB, Sargodha</v>
          </cell>
        </row>
        <row r="678">
          <cell r="E678" t="str">
            <v>UC-65, Chak 67/ANB, Sargodha</v>
          </cell>
        </row>
        <row r="679">
          <cell r="E679" t="str">
            <v>UC-83, Chak 50/NB, Sargodha</v>
          </cell>
        </row>
        <row r="680">
          <cell r="E680" t="str">
            <v>UC-108, Chak 58/SB, Sargodha</v>
          </cell>
        </row>
        <row r="681">
          <cell r="E681" t="str">
            <v>UC-71, Chak 97/NB, Sargodha</v>
          </cell>
        </row>
        <row r="682">
          <cell r="E682" t="str">
            <v>UC-103, Chak 36/SB, Sargodha</v>
          </cell>
        </row>
        <row r="683">
          <cell r="E683" t="str">
            <v>UC-107, Chak 55/SB, Sargodha</v>
          </cell>
        </row>
        <row r="684">
          <cell r="E684" t="str">
            <v>UC-107, Chak 55/SB, Sargodha</v>
          </cell>
        </row>
        <row r="685">
          <cell r="E685" t="str">
            <v>UC-89, Chak 88/SB, Sargodha</v>
          </cell>
        </row>
        <row r="686">
          <cell r="E686" t="str">
            <v>UC-103, Chak 36/SB, Sargodha</v>
          </cell>
        </row>
        <row r="687">
          <cell r="E687" t="str">
            <v>UC-79, Ludewala, Sargodha</v>
          </cell>
        </row>
        <row r="688">
          <cell r="E688" t="str">
            <v>UC-102, Chak 33/SB, Sargodha</v>
          </cell>
        </row>
        <row r="689">
          <cell r="E689" t="str">
            <v>UC-108, Chak 58/SB, Sargodha</v>
          </cell>
        </row>
        <row r="690">
          <cell r="E690" t="str">
            <v>UC-103, Chak 36/SB, Sargodha</v>
          </cell>
        </row>
        <row r="691">
          <cell r="E691" t="str">
            <v>UC-71, Chak 97/NB, Sargodha</v>
          </cell>
        </row>
        <row r="692">
          <cell r="E692" t="str">
            <v>UC-71, Chak 97/NB, Sargodha</v>
          </cell>
        </row>
        <row r="693">
          <cell r="E693" t="str">
            <v>UC-65, Chak 67/ANB, Sargodha</v>
          </cell>
        </row>
        <row r="694">
          <cell r="E694" t="str">
            <v>UC-102, Chak 33/SB, Sargodha</v>
          </cell>
        </row>
        <row r="695">
          <cell r="E695" t="str">
            <v>UC-83, Chak 50/NB, Sargodha</v>
          </cell>
        </row>
        <row r="696">
          <cell r="E696" t="str">
            <v>UC-108, Chak 58/SB, Sargodha</v>
          </cell>
        </row>
        <row r="697">
          <cell r="E697" t="str">
            <v>UC-107, Chak 55/SB, Sargodha</v>
          </cell>
        </row>
        <row r="698">
          <cell r="E698" t="str">
            <v>UC-107, Chak 55/SB, Sargodha</v>
          </cell>
        </row>
        <row r="699">
          <cell r="E699" t="str">
            <v>UC-103, Chak 36/SB, Sargodha</v>
          </cell>
        </row>
        <row r="700">
          <cell r="E700" t="str">
            <v>UC-73, Chak 100/NB, Sargodha</v>
          </cell>
        </row>
        <row r="701">
          <cell r="E701" t="str">
            <v>UC-103, Chak 36/SB, Sargodha</v>
          </cell>
        </row>
        <row r="702">
          <cell r="E702" t="str">
            <v>UC-107, Chak 55/SB, Sargodha</v>
          </cell>
        </row>
        <row r="703">
          <cell r="E703" t="str">
            <v>UC-102, Chak 33/SB, Sargodha</v>
          </cell>
        </row>
        <row r="704">
          <cell r="E704" t="str">
            <v>UC-89, Chak 88/SB, Sargodha</v>
          </cell>
        </row>
        <row r="705">
          <cell r="E705" t="str">
            <v>UC-68, Chak 92/NB, Sargodha</v>
          </cell>
        </row>
        <row r="706">
          <cell r="E706" t="str">
            <v>UC-65, Chak 67/ANB, Sargodha</v>
          </cell>
        </row>
        <row r="707">
          <cell r="E707" t="str">
            <v>UC-71, Chak 97/NB, Sargodha</v>
          </cell>
        </row>
        <row r="708">
          <cell r="E708" t="str">
            <v>UC-107, Chak 55/SB, Sargodha</v>
          </cell>
        </row>
        <row r="709">
          <cell r="E709" t="str">
            <v>UC-73, Chak 100/NB, Sargodha</v>
          </cell>
        </row>
        <row r="710">
          <cell r="E710" t="str">
            <v>UC-62, Luk, Sargodha</v>
          </cell>
        </row>
        <row r="711">
          <cell r="E711" t="str">
            <v>UC-103, Chak 36/SB, Sargodha</v>
          </cell>
        </row>
        <row r="712">
          <cell r="E712" t="str">
            <v>UC-66, Kolowal, Sargodha</v>
          </cell>
        </row>
        <row r="713">
          <cell r="E713" t="str">
            <v>UC-107, Chak 55/SB, Sargodha</v>
          </cell>
        </row>
        <row r="714">
          <cell r="E714" t="str">
            <v>UC-62, Luk, Sargodha</v>
          </cell>
        </row>
        <row r="715">
          <cell r="E715" t="str">
            <v>UC-106, Chak 45/SB, Sargodha</v>
          </cell>
        </row>
        <row r="716">
          <cell r="E716" t="str">
            <v>UC-101, Chak 30/SB, Sargodha</v>
          </cell>
        </row>
        <row r="717">
          <cell r="E717" t="str">
            <v>UC-103, Chak 36/SB, Sargodha</v>
          </cell>
        </row>
        <row r="718">
          <cell r="E718" t="str">
            <v>UC-62, Luk, Sargodha</v>
          </cell>
        </row>
        <row r="719">
          <cell r="E719" t="str">
            <v>UC-107, Chak 55/SB, Sargodha</v>
          </cell>
        </row>
        <row r="720">
          <cell r="E720" t="str">
            <v>UC-66, Kolowal, Sargodha</v>
          </cell>
        </row>
        <row r="721">
          <cell r="E721" t="str">
            <v>UC-100, Chak 28/SB, Sargodha</v>
          </cell>
        </row>
        <row r="722">
          <cell r="E722" t="str">
            <v>UC-66, Kolowal, Sargodha</v>
          </cell>
        </row>
        <row r="723">
          <cell r="E723" t="str">
            <v>UC-100, Chak 28/SB, Sargodha</v>
          </cell>
        </row>
        <row r="724">
          <cell r="E724" t="str">
            <v>UC-62, Luk, Sargodha</v>
          </cell>
        </row>
        <row r="725">
          <cell r="E725" t="str">
            <v>UC-66, Kolowal, Sargodha</v>
          </cell>
        </row>
        <row r="726">
          <cell r="E726" t="str">
            <v>UC-107, Chak 55/SB, Sargodha</v>
          </cell>
        </row>
        <row r="727">
          <cell r="E727" t="str">
            <v>UC-100, Chak 28/SB, Sargodha</v>
          </cell>
        </row>
        <row r="728">
          <cell r="E728" t="str">
            <v>UC-107, Chak 55/SB, Sargodha</v>
          </cell>
        </row>
        <row r="729">
          <cell r="E729" t="str">
            <v>UC-88, Chak 96/SB, Sargodha</v>
          </cell>
        </row>
        <row r="730">
          <cell r="E730" t="str">
            <v>UC-103, Chak 36/SB, Sargodha</v>
          </cell>
        </row>
        <row r="731">
          <cell r="E731" t="str">
            <v>UC-100, Chak 28/SB, Sargodha</v>
          </cell>
        </row>
        <row r="732">
          <cell r="E732" t="str">
            <v>UC-107, Chak 55/SB, Sargodha</v>
          </cell>
        </row>
        <row r="733">
          <cell r="E733" t="str">
            <v>UC-66, Kolowal, Sargodha</v>
          </cell>
        </row>
        <row r="734">
          <cell r="E734" t="str">
            <v>UC-100, Chak 28/SB, Sargodha</v>
          </cell>
        </row>
        <row r="735">
          <cell r="E735" t="str">
            <v>UC-88, Chak 96/SB, Sargodha</v>
          </cell>
        </row>
        <row r="736">
          <cell r="E736" t="str">
            <v>UC-65, Chak 67/ANB, Sargodha</v>
          </cell>
        </row>
        <row r="737">
          <cell r="E737" t="str">
            <v>UC-101, Chak 30/SB, Sargodha</v>
          </cell>
        </row>
        <row r="738">
          <cell r="E738" t="str">
            <v>UC-71, Chak 97/NB, Sargodha</v>
          </cell>
        </row>
        <row r="739">
          <cell r="E739" t="str">
            <v>UC-79, Ludewala, Sargodha</v>
          </cell>
        </row>
        <row r="740">
          <cell r="E740" t="str">
            <v>UC-107, Chak 55/SB, Sargodha</v>
          </cell>
        </row>
        <row r="741">
          <cell r="E741" t="str">
            <v>UC-89, Chak 88/SB, Sargodha</v>
          </cell>
        </row>
        <row r="742">
          <cell r="E742" t="str">
            <v>UC-107, Chak 55/SB, Sargodha</v>
          </cell>
        </row>
        <row r="743">
          <cell r="E743" t="str">
            <v>UC-108, Chak 58/SB, Sargodha</v>
          </cell>
        </row>
        <row r="744">
          <cell r="E744" t="str">
            <v>UC-71, Chak 97/NB, Sargodha</v>
          </cell>
        </row>
        <row r="745">
          <cell r="E745" t="str">
            <v>UC-79, Ludewala, Sargodha</v>
          </cell>
        </row>
        <row r="746">
          <cell r="E746" t="str">
            <v>UC-102, Chak 33/SB, Sargodha</v>
          </cell>
        </row>
        <row r="747">
          <cell r="E747" t="str">
            <v>UC-71, Chak 97/NB, Sargodha</v>
          </cell>
        </row>
        <row r="748">
          <cell r="E748" t="str">
            <v>UC-103, Chak 36/SB, Sargodha</v>
          </cell>
        </row>
        <row r="749">
          <cell r="E749" t="str">
            <v>UC-83, Chak 50/NB, Sargodha</v>
          </cell>
        </row>
        <row r="750">
          <cell r="E750" t="str">
            <v>UC-71, Chak 97/NB, Sargodha</v>
          </cell>
        </row>
        <row r="751">
          <cell r="E751" t="str">
            <v>UC-65, Chak 67/ANB, Sargodha</v>
          </cell>
        </row>
        <row r="752">
          <cell r="E752" t="str">
            <v>UC-79, Ludewala, Sargodha</v>
          </cell>
        </row>
        <row r="753">
          <cell r="E753" t="str">
            <v>UC-83, Chak 50/NB, Sargodha</v>
          </cell>
        </row>
        <row r="754">
          <cell r="E754" t="str">
            <v>UC-103, Chak 36/SB, Sargodha</v>
          </cell>
        </row>
        <row r="755">
          <cell r="E755" t="str">
            <v>UC-87, Chak 100/SB, Sargodha</v>
          </cell>
        </row>
        <row r="756">
          <cell r="E756" t="str">
            <v>UC-89, Chak 88/SB, Sargodha</v>
          </cell>
        </row>
        <row r="757">
          <cell r="E757" t="str">
            <v>UC-83, Chak 50/NB, Sargodha</v>
          </cell>
        </row>
        <row r="758">
          <cell r="E758" t="str">
            <v>UC-108, Chak 58/SB, Sargodha</v>
          </cell>
        </row>
        <row r="759">
          <cell r="E759" t="str">
            <v>UC-106, Chak 45/SB, Sargodha</v>
          </cell>
        </row>
        <row r="760">
          <cell r="E760" t="str">
            <v>UC-106, Chak 45/SB, Sargodha</v>
          </cell>
        </row>
        <row r="761">
          <cell r="E761" t="str">
            <v>UC-106, Chak 45/SB, Sargodha</v>
          </cell>
        </row>
        <row r="762">
          <cell r="E762" t="str">
            <v>UC-102, Chak 33/SB, Sargodha</v>
          </cell>
        </row>
        <row r="763">
          <cell r="E763" t="str">
            <v>UC-107, Chak 55/SB, Sargodha</v>
          </cell>
        </row>
        <row r="764">
          <cell r="E764" t="str">
            <v>UC-100, Chak 28/SB, Sargodha</v>
          </cell>
        </row>
        <row r="765">
          <cell r="E765" t="str">
            <v>UC-81, Chak 34/NB, Sargodha</v>
          </cell>
        </row>
        <row r="766">
          <cell r="E766" t="str">
            <v>UC-100, Chak 28/SB, Sargodha</v>
          </cell>
        </row>
        <row r="767">
          <cell r="E767" t="str">
            <v>UC-105, Chak 52/SB, Sargodha</v>
          </cell>
        </row>
        <row r="768">
          <cell r="E768" t="str">
            <v>UC-100, Chak 28/SB, Sargodha</v>
          </cell>
        </row>
        <row r="769">
          <cell r="E769" t="str">
            <v>UC-105, Chak 52/SB, Sargodha</v>
          </cell>
        </row>
        <row r="770">
          <cell r="E770" t="str">
            <v>UC-67, Chak 82/NB, Sargodha</v>
          </cell>
        </row>
        <row r="771">
          <cell r="E771" t="str">
            <v>UC-100, Chak 28/SB, Sargodha</v>
          </cell>
        </row>
        <row r="772">
          <cell r="E772" t="str">
            <v>UC-105, Chak 52/SB, Sargodha</v>
          </cell>
        </row>
        <row r="773">
          <cell r="E773" t="str">
            <v>UC-108, Chak 58/SB, Sargodha</v>
          </cell>
        </row>
        <row r="774">
          <cell r="E774" t="str">
            <v>UC-107, Chak 55/SB, Sargodha</v>
          </cell>
        </row>
        <row r="775">
          <cell r="E775" t="str">
            <v>UC-103, Chak 36/SB, Sargodha</v>
          </cell>
        </row>
        <row r="776">
          <cell r="E776" t="str">
            <v>UC-79, Ludewala, Sargodha</v>
          </cell>
        </row>
        <row r="777">
          <cell r="E777" t="str">
            <v>UC-105, Chak 52/SB, Sargodha</v>
          </cell>
        </row>
        <row r="778">
          <cell r="E778" t="str">
            <v>UC-71, Chak 97/NB, Sargodha</v>
          </cell>
        </row>
        <row r="779">
          <cell r="E779" t="str">
            <v>UC-79, Ludewala, Sargodha</v>
          </cell>
        </row>
        <row r="780">
          <cell r="E780" t="str">
            <v>UC-108, Chak 58/SB, Sargodha</v>
          </cell>
        </row>
        <row r="781">
          <cell r="E781" t="str">
            <v>TCP ZONE 4</v>
          </cell>
        </row>
        <row r="782">
          <cell r="E782" t="str">
            <v>UC-68, Chak 92/NB, Sargodha</v>
          </cell>
        </row>
        <row r="783">
          <cell r="E783" t="str">
            <v>UC-67, Chak 82/NB, Sargodha</v>
          </cell>
        </row>
        <row r="784">
          <cell r="E784" t="str">
            <v>UC-71, Chak 97/NB, Sargodha</v>
          </cell>
        </row>
        <row r="785">
          <cell r="E785" t="str">
            <v>UC-67, Chak 82/NB, Sargodha</v>
          </cell>
        </row>
        <row r="786">
          <cell r="E786" t="str">
            <v>UC-108, Chak 58/SB, Sargodha</v>
          </cell>
        </row>
        <row r="787">
          <cell r="E787" t="str">
            <v>UC-90, Chak 40/NB, Sargodha</v>
          </cell>
        </row>
        <row r="788">
          <cell r="E788" t="str">
            <v>UC-90, Chak 40/NB, Sargodha</v>
          </cell>
        </row>
        <row r="789">
          <cell r="E789" t="str">
            <v>UC-105, Chak 52/SB, Sargodha</v>
          </cell>
        </row>
        <row r="790">
          <cell r="E790" t="str">
            <v>UC-100, Chak 28/SB, Sargodha</v>
          </cell>
        </row>
        <row r="791">
          <cell r="E791" t="str">
            <v>UC-68, Chak 92/NB, Sargodha</v>
          </cell>
        </row>
        <row r="792">
          <cell r="E792" t="str">
            <v>UC-90, Chak 40/NB, Sargodha</v>
          </cell>
        </row>
        <row r="793">
          <cell r="E793" t="str">
            <v>UC-73, Chak 100/NB, Sargodha</v>
          </cell>
        </row>
        <row r="794">
          <cell r="E794" t="str">
            <v>UC-89, Chak 88/SB, Sargodha</v>
          </cell>
        </row>
        <row r="795">
          <cell r="E795" t="str">
            <v>UC-80, Chak 36/NB, Sargodha</v>
          </cell>
        </row>
        <row r="796">
          <cell r="E796" t="str">
            <v>UC-71, Chak 97/NB, Sargodha</v>
          </cell>
        </row>
        <row r="797">
          <cell r="E797" t="str">
            <v>UC-107, Chak 55/SB, Sargodha</v>
          </cell>
        </row>
        <row r="798">
          <cell r="E798" t="str">
            <v>UC-103, Chak 36/SB, Sargodha</v>
          </cell>
        </row>
        <row r="799">
          <cell r="E799" t="str">
            <v>UC-108, Chak 58/SB, Sargodha</v>
          </cell>
        </row>
        <row r="800">
          <cell r="E800" t="str">
            <v>UC-68, Chak 92/NB, Sargodha</v>
          </cell>
        </row>
        <row r="801">
          <cell r="E801" t="str">
            <v>UC-100, Chak 28/SB, Sargodha</v>
          </cell>
        </row>
        <row r="802">
          <cell r="E802" t="str">
            <v>UC-90, Chak 40/NB, Sargodha</v>
          </cell>
        </row>
        <row r="803">
          <cell r="E803" t="str">
            <v>UC-105, Chak 52/SB, Sargodha</v>
          </cell>
        </row>
        <row r="804">
          <cell r="E804" t="str">
            <v>UC-71, Chak 97/NB, Sargodha</v>
          </cell>
        </row>
        <row r="805">
          <cell r="E805" t="str">
            <v>UC-108, Chak 58/SB, Sargodha</v>
          </cell>
        </row>
        <row r="806">
          <cell r="E806" t="str">
            <v>UC-102, Chak 33/SB, Sargodha</v>
          </cell>
        </row>
        <row r="807">
          <cell r="E807" t="str">
            <v>UC-73, Chak 100/NB, Sargodha</v>
          </cell>
        </row>
        <row r="808">
          <cell r="E808" t="str">
            <v>UC-103, Chak 36/SB, Sargodha</v>
          </cell>
        </row>
        <row r="809">
          <cell r="E809" t="str">
            <v>UC-65, Chak 67/ANB, Sargodha</v>
          </cell>
        </row>
        <row r="810">
          <cell r="E810" t="str">
            <v>UC-71, Chak 97/NB, Sargodha</v>
          </cell>
        </row>
        <row r="811">
          <cell r="E811" t="str">
            <v>UC-107, Chak 55/SB, Sargodha</v>
          </cell>
        </row>
        <row r="812">
          <cell r="E812" t="str">
            <v>UC-103, Chak 36/SB, Sargodha</v>
          </cell>
        </row>
        <row r="813">
          <cell r="E813" t="str">
            <v>UC-102, Chak 33/SB, Sargodha</v>
          </cell>
        </row>
        <row r="814">
          <cell r="E814" t="str">
            <v>UC-103, Chak 36/SB, Sargodha</v>
          </cell>
        </row>
        <row r="815">
          <cell r="E815" t="str">
            <v>UC-71, Chak 97/NB, Sargodha</v>
          </cell>
        </row>
        <row r="816">
          <cell r="E816" t="str">
            <v>UC-103, Chak 36/SB, Sargodha</v>
          </cell>
        </row>
        <row r="817">
          <cell r="E817" t="str">
            <v>UC 67 93 NB</v>
          </cell>
        </row>
        <row r="818">
          <cell r="E818" t="str">
            <v>UC-102, Chak 33/SB, Sargodha</v>
          </cell>
        </row>
        <row r="819">
          <cell r="E819" t="str">
            <v>UC-108, Chak 58/SB, Sargodha</v>
          </cell>
        </row>
        <row r="820">
          <cell r="E820" t="str">
            <v>UC-71, Chak 97/NB, Sargodha</v>
          </cell>
        </row>
        <row r="821">
          <cell r="E821" t="str">
            <v>UC-68, Chak 92/NB, Sargodha</v>
          </cell>
        </row>
        <row r="822">
          <cell r="E822" t="str">
            <v>UC-102, Chak 33/SB, Sargodha</v>
          </cell>
        </row>
        <row r="823">
          <cell r="E823" t="str">
            <v>UC-107, Chak 55/SB, Sargodha</v>
          </cell>
        </row>
        <row r="824">
          <cell r="E824" t="str">
            <v>UC-103, Chak 36/SB, Sargodha</v>
          </cell>
        </row>
        <row r="825">
          <cell r="E825" t="str">
            <v>UC-108, Chak 58/SB, Sargodha</v>
          </cell>
        </row>
        <row r="826">
          <cell r="E826" t="str">
            <v>UC-107, Chak 55/SB, Sargodha</v>
          </cell>
        </row>
        <row r="827">
          <cell r="E827" t="str">
            <v>UC-62, Luk, Sargodha</v>
          </cell>
        </row>
        <row r="828">
          <cell r="E828" t="str">
            <v>UC-107, Chak 55/SB, Sargodha</v>
          </cell>
        </row>
        <row r="829">
          <cell r="E829" t="str">
            <v>UC-68, Chak 92/NB, Sargodha</v>
          </cell>
        </row>
        <row r="830">
          <cell r="E830" t="str">
            <v>UC-106, Chak 45/SB, Sargodha</v>
          </cell>
        </row>
        <row r="831">
          <cell r="E831" t="str">
            <v>UC-103, Chak 36/SB, Sargodha</v>
          </cell>
        </row>
        <row r="832">
          <cell r="E832" t="str">
            <v>UC-102, Chak 33/SB, Sargodha</v>
          </cell>
        </row>
        <row r="833">
          <cell r="E833" t="str">
            <v>UC-80, Chak 36/NB, Sargodha</v>
          </cell>
        </row>
        <row r="834">
          <cell r="E834" t="str">
            <v>UC-62, Luk, Sargodha</v>
          </cell>
        </row>
        <row r="835">
          <cell r="E835" t="str">
            <v>UC-73, Chak 100/NB, Sargodha</v>
          </cell>
        </row>
        <row r="836">
          <cell r="E836" t="str">
            <v>UC-103, Chak 36/SB, Sargodha</v>
          </cell>
        </row>
        <row r="837">
          <cell r="E837" t="str">
            <v>UC-90, Chak 40/NB, Sargodha</v>
          </cell>
        </row>
        <row r="838">
          <cell r="E838" t="str">
            <v>UC-80, Chak 36/NB, Sargodha</v>
          </cell>
        </row>
        <row r="839">
          <cell r="E839" t="str">
            <v>UC-100, Chak 28/SB, Sargodha</v>
          </cell>
        </row>
        <row r="840">
          <cell r="E840" t="str">
            <v>UC-71, Chak 97/NB, Sargodha</v>
          </cell>
        </row>
        <row r="841">
          <cell r="E841" t="str">
            <v>UC-71, Chak 97/NB, Sargodha</v>
          </cell>
        </row>
        <row r="842">
          <cell r="E842" t="str">
            <v>UC-65, Chak 67/ANB, Sargodha</v>
          </cell>
        </row>
        <row r="843">
          <cell r="E843" t="str">
            <v>UC-73, Chak 100/NB, Sargodha</v>
          </cell>
        </row>
        <row r="844">
          <cell r="E844" t="str">
            <v>UC-107, Chak 55/SB, Sargodha</v>
          </cell>
        </row>
        <row r="845">
          <cell r="E845" t="str">
            <v>UC-102, Chak 33/SB, Sargodha</v>
          </cell>
        </row>
        <row r="846">
          <cell r="E846" t="str">
            <v>UC-62, Luk, Sargodha</v>
          </cell>
        </row>
        <row r="847">
          <cell r="E847" t="str">
            <v>UC-68, Chak 92/NB, Sargodha</v>
          </cell>
        </row>
        <row r="848">
          <cell r="E848" t="str">
            <v>UC-71, Chak 97/NB, Sargodha</v>
          </cell>
        </row>
        <row r="849">
          <cell r="E849" t="str">
            <v>MC-11, City II, Sargodha</v>
          </cell>
        </row>
        <row r="850">
          <cell r="E850" t="str">
            <v>UC-103, Chak 36/SB, Sargodha</v>
          </cell>
        </row>
        <row r="851">
          <cell r="E851" t="str">
            <v>UC-103, Chak 36/SB, Sargodha</v>
          </cell>
        </row>
        <row r="852">
          <cell r="E852" t="str">
            <v>UC-102, Chak 33/SB, Sargodha</v>
          </cell>
        </row>
        <row r="853">
          <cell r="E853" t="str">
            <v>UC-62, Luk, Sargodha</v>
          </cell>
        </row>
        <row r="854">
          <cell r="E854" t="str">
            <v>UC-73, Chak 100/NB, Sargodha</v>
          </cell>
        </row>
        <row r="855">
          <cell r="E855" t="str">
            <v>UC-71, Chak 97/NB, Sargodha</v>
          </cell>
        </row>
        <row r="856">
          <cell r="E856" t="str">
            <v>UC-62, Luk, Sargodha</v>
          </cell>
        </row>
        <row r="857">
          <cell r="E857" t="str">
            <v>UC-103, Chak 36/SB, Sargodha</v>
          </cell>
        </row>
        <row r="858">
          <cell r="E858" t="str">
            <v>UC-106, Chak 45/SB, Sargodha</v>
          </cell>
        </row>
        <row r="859">
          <cell r="E859" t="str">
            <v>UC-65, Chak 67/ANB, Sargodha</v>
          </cell>
        </row>
        <row r="860">
          <cell r="E860" t="str">
            <v>UC-71, Chak 97/NB, Sargodha</v>
          </cell>
        </row>
        <row r="861">
          <cell r="E861" t="str">
            <v>UC-103, Chak 36/SB, Sargodha</v>
          </cell>
        </row>
        <row r="862">
          <cell r="E862" t="str">
            <v>UC-62, Luk, Sargodha</v>
          </cell>
        </row>
        <row r="863">
          <cell r="E863" t="str">
            <v>UC-102, Chak 33/SB, Sargodha</v>
          </cell>
        </row>
        <row r="864">
          <cell r="E864" t="str">
            <v>UC-71, Chak 97/NB, Sargodha</v>
          </cell>
        </row>
        <row r="865">
          <cell r="E865" t="str">
            <v>UC-103, Chak 36/SB, Sargodha</v>
          </cell>
        </row>
        <row r="866">
          <cell r="E866" t="str">
            <v>UC-106, Chak 45/SB, Sargodha</v>
          </cell>
        </row>
        <row r="867">
          <cell r="E867" t="str">
            <v>UC-106, Chak 45/SB, Sargodha</v>
          </cell>
        </row>
        <row r="868">
          <cell r="E868" t="str">
            <v>UC-66, Kolowal, Sargodha</v>
          </cell>
        </row>
        <row r="869">
          <cell r="E869" t="str">
            <v>UC-62, Luk, Sargodha</v>
          </cell>
        </row>
        <row r="870">
          <cell r="E870" t="str">
            <v>UC-66, Kolowal, Sargodha</v>
          </cell>
        </row>
        <row r="871">
          <cell r="E871" t="str">
            <v>UC-102, Chak 33/SB, Sargodha</v>
          </cell>
        </row>
        <row r="872">
          <cell r="E872" t="str">
            <v>UC-108, Chak 58/SB, Sargodha</v>
          </cell>
        </row>
        <row r="873">
          <cell r="E873" t="str">
            <v>UC-62, Luk, Sargodha</v>
          </cell>
        </row>
        <row r="874">
          <cell r="E874" t="str">
            <v>UC-103, Chak 36/SB, Sargodha</v>
          </cell>
        </row>
        <row r="875">
          <cell r="E875" t="str">
            <v>UC-68, Chak 92/NB, Sargodha</v>
          </cell>
        </row>
        <row r="876">
          <cell r="E876" t="str">
            <v>UC-101, Chak 30/SB, Sargodha</v>
          </cell>
        </row>
        <row r="877">
          <cell r="E877" t="str">
            <v>UC-103, Chak 36/SB, Sargodha</v>
          </cell>
        </row>
        <row r="878">
          <cell r="E878" t="str">
            <v>UC-100, Chak 28/SB, Sargodha</v>
          </cell>
        </row>
        <row r="879">
          <cell r="E879" t="str">
            <v>UC-105, Chak 52/SB, Sargodha</v>
          </cell>
        </row>
        <row r="880">
          <cell r="E880" t="str">
            <v>UC-105, Chak 52/SB, Sargodha</v>
          </cell>
        </row>
        <row r="881">
          <cell r="E881" t="str">
            <v>UC-68, Chak 92/NB, Sargodha</v>
          </cell>
        </row>
        <row r="882">
          <cell r="E882" t="str">
            <v>UC-100, Chak 28/SB, Sargodha</v>
          </cell>
        </row>
        <row r="883">
          <cell r="E883" t="str">
            <v>UC-80, Chak 36/NB, Sargodha</v>
          </cell>
        </row>
        <row r="884">
          <cell r="E884" t="str">
            <v>UC-100, Chak 28/SB, Sargodha</v>
          </cell>
        </row>
        <row r="885">
          <cell r="E885" t="str">
            <v>UC-108, Chak 58/SB, Sargodha</v>
          </cell>
        </row>
        <row r="886">
          <cell r="E886" t="str">
            <v>UC-63, Chak 58/NB, Sargodha</v>
          </cell>
        </row>
        <row r="887">
          <cell r="E887" t="str">
            <v>UC-105, Chak 52/SB, Sargodha</v>
          </cell>
        </row>
        <row r="888">
          <cell r="E888" t="str">
            <v>UC-81, Chak 34/NB, Sargodha</v>
          </cell>
        </row>
        <row r="889">
          <cell r="E889" t="str">
            <v>UC-100, Chak 28/SB, Sargodha</v>
          </cell>
        </row>
        <row r="890">
          <cell r="E890" t="str">
            <v>UC-80, Chak 36/NB, Sargodha</v>
          </cell>
        </row>
        <row r="891">
          <cell r="E891" t="str">
            <v>UC-101, Chak 30/SB, Sargodha</v>
          </cell>
        </row>
        <row r="892">
          <cell r="E892" t="str">
            <v>UC-68, Chak 92/NB, Sargodha</v>
          </cell>
        </row>
        <row r="893">
          <cell r="E893" t="str">
            <v>UC-100, Chak 28/SB, Sargodha</v>
          </cell>
        </row>
        <row r="894">
          <cell r="E894" t="str">
            <v>UC-80, Chak 36/NB, Sargodha</v>
          </cell>
        </row>
        <row r="895">
          <cell r="E895" t="str">
            <v>UC-108, Chak 58/SB, Sargodha</v>
          </cell>
        </row>
        <row r="896">
          <cell r="E896" t="str">
            <v>UC-101, Chak 30/SB, Sargodha</v>
          </cell>
        </row>
        <row r="897">
          <cell r="E897" t="str">
            <v>UC-100, Chak 28/SB, Sargodha</v>
          </cell>
        </row>
        <row r="898">
          <cell r="E898" t="str">
            <v>UC-103, Chak 36/SB, Sargodha</v>
          </cell>
        </row>
        <row r="899">
          <cell r="E899" t="str">
            <v>UC-103, Chak 36/SB, Sargodha</v>
          </cell>
        </row>
        <row r="900">
          <cell r="E900" t="str">
            <v>UC-80, Chak 36/NB, Sargodha</v>
          </cell>
        </row>
        <row r="901">
          <cell r="E901" t="str">
            <v>UC-100, Chak 28/SB, Sargodha</v>
          </cell>
        </row>
        <row r="902">
          <cell r="E902" t="str">
            <v>UC-79, Ludewala, Sargodha</v>
          </cell>
        </row>
        <row r="903">
          <cell r="E903" t="str">
            <v>UC-108, Chak 58/SB, Sargodha</v>
          </cell>
        </row>
        <row r="904">
          <cell r="E904" t="str">
            <v>UC-100, Chak 28/SB, Sargodha</v>
          </cell>
        </row>
        <row r="905">
          <cell r="E905" t="str">
            <v>UC-79, Ludewala, Sargodha</v>
          </cell>
        </row>
        <row r="906">
          <cell r="E906" t="str">
            <v>UC-68, Chak 92/NB, Sargodha</v>
          </cell>
        </row>
        <row r="907">
          <cell r="E907" t="str">
            <v>UC-103, Chak 36/SB, Sargodha</v>
          </cell>
        </row>
        <row r="908">
          <cell r="E908" t="str">
            <v>UC-80, Chak 36/NB, Sargodha</v>
          </cell>
        </row>
        <row r="909">
          <cell r="E909" t="str">
            <v>UC-100, Chak 28/SB, Sargodha</v>
          </cell>
        </row>
        <row r="910">
          <cell r="E910" t="str">
            <v>UC-68, Chak 92/NB, Sargodha</v>
          </cell>
        </row>
        <row r="911">
          <cell r="E911" t="str">
            <v>UC-100, Chak 28/SB, Sargodha</v>
          </cell>
        </row>
        <row r="912">
          <cell r="E912" t="str">
            <v>UC-80, Chak 36/NB, Sargodha</v>
          </cell>
        </row>
        <row r="913">
          <cell r="E913" t="str">
            <v>UC-68, Chak 92/NB, Sargodha</v>
          </cell>
        </row>
        <row r="914">
          <cell r="E914" t="str">
            <v>UC-100, Chak 28/SB, Sargodha</v>
          </cell>
        </row>
        <row r="915">
          <cell r="E915" t="str">
            <v>UC-101, Chak 30/SB, Sargodha</v>
          </cell>
        </row>
        <row r="916">
          <cell r="E916" t="str">
            <v>UC-68, Chak 92/NB, Sargodha</v>
          </cell>
        </row>
        <row r="917">
          <cell r="E917" t="str">
            <v>UC-100, Chak 28/SB, Sargodha</v>
          </cell>
        </row>
        <row r="918">
          <cell r="E918" t="str">
            <v>UC-108, Chak 58/SB, Sargodha</v>
          </cell>
        </row>
        <row r="919">
          <cell r="E919" t="str">
            <v>UC-105, Chak 52/SB, Sargodha</v>
          </cell>
        </row>
        <row r="920">
          <cell r="E920" t="str">
            <v>UC-105, Chak 52/SB, Sargodha</v>
          </cell>
        </row>
        <row r="921">
          <cell r="E921" t="str">
            <v>UC-89, Chak 88/SB, Sargodha</v>
          </cell>
        </row>
        <row r="922">
          <cell r="E922" t="str">
            <v>UC-68, Chak 92/NB, Sargodha</v>
          </cell>
        </row>
        <row r="923">
          <cell r="E923" t="str">
            <v>UC-80, Chak 36/NB, Sargodha</v>
          </cell>
        </row>
        <row r="924">
          <cell r="E924" t="str">
            <v>UC-100, Chak 28/SB, Sargodha</v>
          </cell>
        </row>
        <row r="925">
          <cell r="E925" t="str">
            <v>UC-89, Chak 88/SB, Sargodha</v>
          </cell>
        </row>
        <row r="926">
          <cell r="E926" t="str">
            <v>UC-65, Chak 67/ANB, Sargodha</v>
          </cell>
        </row>
        <row r="927">
          <cell r="E927" t="str">
            <v>UC-68, Chak 92/NB, Sargodha</v>
          </cell>
        </row>
        <row r="928">
          <cell r="E928" t="str">
            <v>UC-100, Chak 28/SB, Sargodha</v>
          </cell>
        </row>
        <row r="929">
          <cell r="E929" t="str">
            <v>UC-80, Chak 36/NB, Sargodha</v>
          </cell>
        </row>
        <row r="930">
          <cell r="E930" t="str">
            <v>UC-103, Chak 36/SB, Sargodha</v>
          </cell>
        </row>
        <row r="931">
          <cell r="E931" t="str">
            <v>UC-89, Chak 88/SB, Sargodha</v>
          </cell>
        </row>
        <row r="932">
          <cell r="E932" t="str">
            <v>UC-100, Chak 28/SB, Sargodha</v>
          </cell>
        </row>
        <row r="933">
          <cell r="E933" t="str">
            <v>UC-100, Chak 28/SB, Sargodha</v>
          </cell>
        </row>
        <row r="934">
          <cell r="E934" t="str">
            <v>UC-79, Ludewala, Sargodha</v>
          </cell>
        </row>
        <row r="935">
          <cell r="E935" t="str">
            <v>UC-83, Chak 50/NB, Sargodha</v>
          </cell>
        </row>
        <row r="936">
          <cell r="E936" t="str">
            <v>UC-89, Chak 88/SB, Sargodha</v>
          </cell>
        </row>
        <row r="937">
          <cell r="E937" t="str">
            <v>UC-100, Chak 28/SB, Sargodha</v>
          </cell>
        </row>
        <row r="938">
          <cell r="E938" t="str">
            <v>UC-65, Chak 67/ANB, Sargodha</v>
          </cell>
        </row>
        <row r="939">
          <cell r="E939" t="str">
            <v>UC-100, Chak 28/SB, Sargodha</v>
          </cell>
        </row>
        <row r="940">
          <cell r="E940" t="str">
            <v>UC-85, Chak 111/SB, Sargodha</v>
          </cell>
        </row>
        <row r="941">
          <cell r="E941" t="str">
            <v>UC-83, Chak 50/NB, Sargodha</v>
          </cell>
        </row>
        <row r="942">
          <cell r="E942" t="str">
            <v>UC-79, Ludewala, Sargodha</v>
          </cell>
        </row>
        <row r="943">
          <cell r="E943" t="str">
            <v>UC-83, Chak 50/NB, Sargodha</v>
          </cell>
        </row>
        <row r="944">
          <cell r="E944" t="str">
            <v>UC-103, Chak 36/SB, Sargodha</v>
          </cell>
        </row>
        <row r="945">
          <cell r="E945" t="str">
            <v>UC-100, Chak 28/SB, Sargodha</v>
          </cell>
        </row>
        <row r="946">
          <cell r="E946" t="str">
            <v>UC-85, Chak 111/SB, Sargodha</v>
          </cell>
        </row>
        <row r="947">
          <cell r="E947" t="str">
            <v>UC-89, Chak 88/SB, Sargodha</v>
          </cell>
        </row>
        <row r="948">
          <cell r="E948" t="str">
            <v>UC-103, Chak 36/SB, Sargodha</v>
          </cell>
        </row>
        <row r="949">
          <cell r="E949" t="str">
            <v>UC-79, Ludewala, Sargodha</v>
          </cell>
        </row>
        <row r="950">
          <cell r="E950" t="str">
            <v>UC-65, Chak 67/ANB, Sargodha</v>
          </cell>
        </row>
        <row r="951">
          <cell r="E951" t="str">
            <v>UC-80, Chak 36/NB, Sargodha</v>
          </cell>
        </row>
        <row r="952">
          <cell r="E952" t="str">
            <v>UC-108, Chak 58/SB, Sargodha</v>
          </cell>
        </row>
        <row r="953">
          <cell r="E953" t="str">
            <v>UC-89, Chak 88/SB, Sargodha</v>
          </cell>
        </row>
        <row r="954">
          <cell r="E954" t="str">
            <v>UC-79, Ludewala, Sargodha</v>
          </cell>
        </row>
        <row r="955">
          <cell r="E955" t="str">
            <v>UC-103, Chak 36/SB, Sargodha</v>
          </cell>
        </row>
        <row r="956">
          <cell r="E956" t="str">
            <v>UC-79, Ludewala, Sargodha</v>
          </cell>
        </row>
        <row r="957">
          <cell r="E957" t="str">
            <v>UC-80, Chak 36/NB, Sargodha</v>
          </cell>
        </row>
        <row r="958">
          <cell r="E958" t="str">
            <v>UC-85, Chak 111/SB, Sargodha</v>
          </cell>
        </row>
        <row r="959">
          <cell r="E959" t="str">
            <v>UC-83, Chak 50/NB, Sargodha</v>
          </cell>
        </row>
        <row r="960">
          <cell r="E960" t="str">
            <v>UC-103, Chak 36/SB, Sargodha</v>
          </cell>
        </row>
        <row r="961">
          <cell r="E961" t="str">
            <v>UC-89, Chak 88/SB, Sargodha</v>
          </cell>
        </row>
        <row r="962">
          <cell r="E962" t="str">
            <v>UC-83, Chak 50/NB, Sargodha</v>
          </cell>
        </row>
        <row r="963">
          <cell r="E963" t="str">
            <v>MC-3, Satellite Town, Block A, Sargodha</v>
          </cell>
        </row>
        <row r="964">
          <cell r="E964" t="str">
            <v>UC-85, Chak 111/SB, Sargodha</v>
          </cell>
        </row>
        <row r="965">
          <cell r="E965" t="str">
            <v>UC-79, Ludewala, Sargodha</v>
          </cell>
        </row>
        <row r="966">
          <cell r="E966" t="str">
            <v>UC-80, Chak 36/NB, Sargodha</v>
          </cell>
        </row>
        <row r="967">
          <cell r="E967" t="str">
            <v>UC-108, Chak 58/SB, Sargodha</v>
          </cell>
        </row>
        <row r="968">
          <cell r="E968" t="str">
            <v>UC-103, Chak 36/SB, Sargodha</v>
          </cell>
        </row>
        <row r="969">
          <cell r="E969" t="str">
            <v>UC-65, Chak 67/ANB, Sargodha</v>
          </cell>
        </row>
        <row r="970">
          <cell r="E970" t="str">
            <v>UC-79, Ludewala, Sargodha</v>
          </cell>
        </row>
        <row r="971">
          <cell r="E971" t="str">
            <v>UC-106, Chak 45/SB, Sargodha</v>
          </cell>
        </row>
        <row r="972">
          <cell r="E972" t="str">
            <v>UC-79, Ludewala, Sargodha</v>
          </cell>
        </row>
        <row r="973">
          <cell r="E973" t="str">
            <v>UC-106, Chak 45/SB, Sargodha</v>
          </cell>
        </row>
        <row r="974">
          <cell r="E974" t="str">
            <v>UC-64, Dharema, Sargodha</v>
          </cell>
        </row>
        <row r="975">
          <cell r="E975" t="str">
            <v>UC-79, Ludewala, Sargodha</v>
          </cell>
        </row>
        <row r="976">
          <cell r="E976" t="str">
            <v>UC-79, Ludewala, Sargodha</v>
          </cell>
        </row>
        <row r="977">
          <cell r="E977" t="str">
            <v>UC-100, Chak 28/SB, Sargodha</v>
          </cell>
        </row>
        <row r="978">
          <cell r="E978" t="str">
            <v>UC-85, Chak 111/SB, Sargodha</v>
          </cell>
        </row>
        <row r="979">
          <cell r="E979" t="str">
            <v>UC-88, Chak 96/SB, Sargodha</v>
          </cell>
        </row>
        <row r="980">
          <cell r="E980" t="str">
            <v>UC-107, Chak 55/SB, Sargodha</v>
          </cell>
        </row>
        <row r="981">
          <cell r="E981" t="str">
            <v>UC-88, Chak 96/SB, Sargodha</v>
          </cell>
        </row>
        <row r="982">
          <cell r="E982" t="str">
            <v>UC-107, Chak 55/SB, Sargodha</v>
          </cell>
        </row>
        <row r="983">
          <cell r="E983" t="str">
            <v>UC 67 93 NB</v>
          </cell>
        </row>
        <row r="984">
          <cell r="E984" t="str">
            <v>UC-107, Chak 55/SB, Sargodha</v>
          </cell>
        </row>
        <row r="985">
          <cell r="E985" t="str">
            <v>UC-103, Chak 36/SB, Sargodha</v>
          </cell>
        </row>
        <row r="986">
          <cell r="E986" t="str">
            <v>UC-100, Chak 28/SB, Sargodha</v>
          </cell>
        </row>
        <row r="987">
          <cell r="E987" t="str">
            <v>UC-88, Chak 96/SB, Sargodha</v>
          </cell>
        </row>
        <row r="988">
          <cell r="E988" t="str">
            <v>UC 67 93 NB</v>
          </cell>
        </row>
        <row r="989">
          <cell r="E989" t="str">
            <v>UC-79, Ludewala, Sargodha</v>
          </cell>
        </row>
        <row r="990">
          <cell r="E990" t="str">
            <v>UC-107, Chak 55/SB, Sargodha</v>
          </cell>
        </row>
        <row r="991">
          <cell r="E991" t="str">
            <v>UC-100, Chak 28/SB, Sargodha</v>
          </cell>
        </row>
        <row r="992">
          <cell r="E992" t="str">
            <v>UC-80, Chak 36/NB, Sargodha</v>
          </cell>
        </row>
        <row r="993">
          <cell r="E993" t="str">
            <v>UC-100, Chak 28/SB, Sargodha</v>
          </cell>
        </row>
        <row r="994">
          <cell r="E994" t="str">
            <v>UC-88, Chak 96/SB, Sargodha</v>
          </cell>
        </row>
        <row r="995">
          <cell r="E995" t="str">
            <v>UC-79, Ludewala, Sargodha</v>
          </cell>
        </row>
        <row r="996">
          <cell r="E996" t="str">
            <v>UC-100, Chak 28/SB, Sargodha</v>
          </cell>
        </row>
        <row r="997">
          <cell r="E997" t="str">
            <v>UC 67 93 NB</v>
          </cell>
        </row>
        <row r="998">
          <cell r="E998" t="str">
            <v>UC-100, Chak 28/SB, Sargodha</v>
          </cell>
        </row>
        <row r="999">
          <cell r="E999" t="str">
            <v>UC-107, Chak 55/SB, Sargodha</v>
          </cell>
        </row>
        <row r="1000">
          <cell r="E1000" t="str">
            <v>UC-80, Chak 36/NB, Sargodha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ones"/>
      <sheetName val="DailyLog"/>
      <sheetName val="Survey App"/>
      <sheetName val="Interviews"/>
      <sheetName val="Attendance"/>
      <sheetName val="Empty"/>
      <sheetName val="Equipmnet"/>
      <sheetName val="Interviews (1-11-25)"/>
      <sheetName val="Hired"/>
      <sheetName val="Sheet1"/>
    </sheetNames>
    <sheetDataSet>
      <sheetData sheetId="0">
        <row r="1">
          <cell r="C1" t="str">
            <v>MC</v>
          </cell>
        </row>
      </sheetData>
      <sheetData sheetId="1"/>
      <sheetData sheetId="2"/>
      <sheetData sheetId="3">
        <row r="3">
          <cell r="B3" t="str">
            <v>Muhammad Tahir Shehzad</v>
          </cell>
          <cell r="D3" t="str">
            <v>Fired</v>
          </cell>
        </row>
        <row r="4">
          <cell r="D4" t="str">
            <v>Fired</v>
          </cell>
        </row>
        <row r="5">
          <cell r="D5" t="str">
            <v>Fired</v>
          </cell>
        </row>
        <row r="6">
          <cell r="D6" t="str">
            <v>Fired</v>
          </cell>
        </row>
        <row r="7">
          <cell r="D7" t="str">
            <v>Hired</v>
          </cell>
        </row>
        <row r="8">
          <cell r="D8" t="str">
            <v>Hired</v>
          </cell>
        </row>
        <row r="9">
          <cell r="D9" t="str">
            <v>Hired</v>
          </cell>
        </row>
        <row r="10">
          <cell r="D10" t="str">
            <v>Hired</v>
          </cell>
        </row>
        <row r="11">
          <cell r="D11" t="str">
            <v>Hired</v>
          </cell>
        </row>
        <row r="12">
          <cell r="D12" t="str">
            <v>Hired</v>
          </cell>
        </row>
        <row r="13">
          <cell r="D13" t="str">
            <v>Hired</v>
          </cell>
        </row>
        <row r="14">
          <cell r="D14" t="str">
            <v>Hired</v>
          </cell>
        </row>
        <row r="15">
          <cell r="D15" t="str">
            <v>Hired</v>
          </cell>
        </row>
        <row r="16">
          <cell r="D16" t="str">
            <v>Hired</v>
          </cell>
        </row>
        <row r="17">
          <cell r="D17" t="str">
            <v>Hired</v>
          </cell>
        </row>
        <row r="18">
          <cell r="D18" t="str">
            <v>Hired</v>
          </cell>
        </row>
        <row r="19">
          <cell r="D19" t="str">
            <v>Hired</v>
          </cell>
        </row>
        <row r="20">
          <cell r="D20" t="str">
            <v>Hired</v>
          </cell>
        </row>
        <row r="21">
          <cell r="D21" t="str">
            <v>Hired</v>
          </cell>
        </row>
        <row r="22">
          <cell r="D22" t="str">
            <v>Hired</v>
          </cell>
        </row>
        <row r="23">
          <cell r="D23" t="str">
            <v>Hired</v>
          </cell>
        </row>
        <row r="24">
          <cell r="D24" t="str">
            <v>Pool</v>
          </cell>
        </row>
        <row r="25">
          <cell r="D25" t="str">
            <v>Pool</v>
          </cell>
        </row>
        <row r="26">
          <cell r="D26" t="str">
            <v>Pool</v>
          </cell>
        </row>
        <row r="27">
          <cell r="D27" t="str">
            <v>Pool</v>
          </cell>
        </row>
        <row r="28">
          <cell r="D28" t="str">
            <v>Pool</v>
          </cell>
        </row>
        <row r="29">
          <cell r="D29" t="str">
            <v>Pool</v>
          </cell>
        </row>
        <row r="30">
          <cell r="D30" t="str">
            <v>Pool</v>
          </cell>
        </row>
        <row r="31">
          <cell r="D31" t="str">
            <v>Pool</v>
          </cell>
        </row>
        <row r="32">
          <cell r="D32" t="str">
            <v>Pool</v>
          </cell>
        </row>
        <row r="33">
          <cell r="D33" t="str">
            <v>Pool</v>
          </cell>
        </row>
        <row r="34">
          <cell r="D34" t="str">
            <v>Pool</v>
          </cell>
        </row>
        <row r="35">
          <cell r="D35" t="str">
            <v>Pool</v>
          </cell>
        </row>
        <row r="36">
          <cell r="D36" t="str">
            <v>Pool</v>
          </cell>
        </row>
        <row r="37">
          <cell r="D37" t="str">
            <v>Pool</v>
          </cell>
        </row>
        <row r="38">
          <cell r="D38" t="str">
            <v>Pool</v>
          </cell>
        </row>
        <row r="39">
          <cell r="D39" t="str">
            <v>Pool</v>
          </cell>
        </row>
        <row r="40">
          <cell r="D40" t="str">
            <v>Pool</v>
          </cell>
        </row>
        <row r="41">
          <cell r="D41" t="str">
            <v>Pool</v>
          </cell>
        </row>
      </sheetData>
      <sheetData sheetId="4"/>
      <sheetData sheetId="5"/>
      <sheetData sheetId="6"/>
      <sheetData sheetId="7" refreshError="1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6.46921087963" createdVersion="8" refreshedVersion="8" minRefreshableVersion="3" recordCount="7" xr:uid="{FE3F6A3F-B7CA-486A-93CC-F4E98BF01471}">
  <cacheSource type="worksheet">
    <worksheetSource name="paid"/>
  </cacheSource>
  <cacheFields count="18">
    <cacheField name="Sr#" numFmtId="0">
      <sharedItems containsSemiMixedTypes="0" containsString="0" containsNumber="1" containsInteger="1" minValue="14" maxValue="305"/>
    </cacheField>
    <cacheField name="PSID" numFmtId="49">
      <sharedItems/>
    </cacheField>
    <cacheField name="Month" numFmtId="17">
      <sharedItems containsSemiMixedTypes="0" containsNonDate="0" containsDate="1" containsString="0" minDate="2025-11-01T00:00:00" maxDate="2025-11-02T00:00:00"/>
    </cacheField>
    <cacheField name="WMC" numFmtId="0">
      <sharedItems/>
    </cacheField>
    <cacheField name="Division" numFmtId="0">
      <sharedItems/>
    </cacheField>
    <cacheField name="District" numFmtId="0">
      <sharedItems/>
    </cacheField>
    <cacheField name="Tehsil" numFmtId="0">
      <sharedItems/>
    </cacheField>
    <cacheField name="Office" numFmtId="0">
      <sharedItems/>
    </cacheField>
    <cacheField name="UC" numFmtId="0">
      <sharedItems count="24">
        <s v="MC-4 Zahoor Hayat Colony Bhalwal"/>
        <s v="MC-1, MANZOOR HAYAT COLONY BHALWAL"/>
        <s v="MC-17 Block no 2"/>
        <s v="MC-2, MANZOOR HAYAT COLONY BHALWAL"/>
        <s v="MC-4, Jameel Park, Sargodha" u="1"/>
        <s v="MC-21, Muslim Abad, Sargodha" u="1"/>
        <s v="MC-13, Iqbal Colony, Sargodha" u="1"/>
        <s v="MC-3, Satellite Town, Block A, Sargodha" u="1"/>
        <s v="MC-22, Istaqlalabad, Sargodha" u="1"/>
        <s v="MC-12, Urban Area, Sargodha" u="1"/>
        <s v="MC-17, Block 5/11, Sargodha" u="1"/>
        <s v="MC-11, City II, Sargodha" u="1"/>
        <s v="UC-72, Chak 90/NB, Sargodha" u="1"/>
        <s v="UC-65, Chak 67/ANB, Sargodha" u="1"/>
        <s v="MC-14, New Muhammadi Colony, Sargodha" u="1"/>
        <s v="MC-16, Muqam-e-Hayat I, Sargodha" u="1"/>
        <s v="MC-18, City I, Sargodha" u="1"/>
        <s v="MC-8, Zafar ColonyLehman Pura, Sargodha" u="1"/>
        <s v="MC-20, DHQ, Sargodha" u="1"/>
        <s v="MC-7, Rehmanpura 02, Sargodha" u="1"/>
        <s v="MC-10, Kot Farid, Sargodha" u="1"/>
        <s v="MC-9, Islam Pura, Sargodha" u="1"/>
        <s v="MC-2, New Satellite Town, Block W,X,Y, Sargodha" u="1"/>
        <s v="UC-63, Chak 58/NB, Sargodha" u="1"/>
      </sharedItems>
    </cacheField>
    <cacheField name="Billing Category" numFmtId="0">
      <sharedItems/>
    </cacheField>
    <cacheField name="Amount" numFmtId="0">
      <sharedItems containsSemiMixedTypes="0" containsString="0" containsNumber="1" containsInteger="1" minValue="300" maxValue="1000"/>
    </cacheField>
    <cacheField name="Fine" numFmtId="0">
      <sharedItems containsSemiMixedTypes="0" containsString="0" containsNumber="1" containsInteger="1" minValue="30" maxValue="105"/>
    </cacheField>
    <cacheField name="Bill PDF" numFmtId="0">
      <sharedItems/>
    </cacheField>
    <cacheField name="Channel" numFmtId="0">
      <sharedItems/>
    </cacheField>
    <cacheField name="Paid Date" numFmtId="0">
      <sharedItems count="5">
        <s v="Dec 04, 2025"/>
        <s v="Dec 03, 2025"/>
        <s v="Dec 02, 2025"/>
        <s v="Dec 05, 2025" u="1"/>
        <s v="Dec 01, 2025" u="1"/>
      </sharedItems>
    </cacheField>
    <cacheField name="Paid Amount" numFmtId="0">
      <sharedItems containsSemiMixedTypes="0" containsString="0" containsNumber="1" containsInteger="1" minValue="300" maxValue="1000"/>
    </cacheField>
    <cacheField name="Status" numFmtId="0">
      <sharedItems/>
    </cacheField>
    <cacheField name="Activ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96"/>
    <s v="26770110100911005622"/>
    <d v="2025-11-01T00:00:00"/>
    <s v="Sargodha Waste Management Company (SGWMC)"/>
    <s v="Sargodha"/>
    <s v="Sargodha"/>
    <s v="Bhalwal"/>
    <s v="Tehsil Office, Bhalwal"/>
    <x v="0"/>
    <s v="Commercial Urban Small business"/>
    <n v="500"/>
    <n v="50"/>
    <s v="https://suthra.punjab.gov.pk/suthra-nfs/suthra/uploads/suthra-punjab-bill/2025/11/18/9/32/139/bill-spj-15392-area-5766-02-59-05.pdf"/>
    <s v="1Bill"/>
    <x v="0"/>
    <n v="500"/>
    <s v="paid"/>
    <n v="1"/>
  </r>
  <r>
    <n v="305"/>
    <s v="26770110100911007542"/>
    <d v="2025-11-01T00:00:00"/>
    <s v="Sargodha Waste Management Company (SGWMC)"/>
    <s v="Sargodha"/>
    <s v="Sargodha"/>
    <s v="Bhalwal"/>
    <s v="Tehsil Office, Bhalwal"/>
    <x v="1"/>
    <s v="Domestic Urban Upto 5 marla"/>
    <n v="300"/>
    <n v="30"/>
    <s v="https://suthra.punjab.gov.pk/suthra-nfs/suthra/uploads/suthra-punjab-bill/2025/11/18/9/32/139/bill-spj-15339-area-5763-02-58-47.pdf"/>
    <s v="1Bill"/>
    <x v="0"/>
    <n v="300"/>
    <s v="paid"/>
    <n v="1"/>
  </r>
  <r>
    <n v="195"/>
    <s v="26770110100911005632"/>
    <d v="2025-11-01T00:00:00"/>
    <s v="Sargodha Waste Management Company (SGWMC)"/>
    <s v="Sargodha"/>
    <s v="Sargodha"/>
    <s v="Bhalwal"/>
    <s v="Tehsil Office, Bhalwal"/>
    <x v="0"/>
    <s v="Commercial Urban Small business"/>
    <n v="500"/>
    <n v="50"/>
    <s v="https://suthra.punjab.gov.pk/suthra-nfs/suthra/uploads/suthra-punjab-bill/2025/11/18/9/32/139/bill-spj-15392-area-5766-02-59-05.pdf"/>
    <s v="1Bill"/>
    <x v="0"/>
    <n v="500"/>
    <s v="paid"/>
    <n v="1"/>
  </r>
  <r>
    <n v="14"/>
    <s v="26770110100911003572"/>
    <d v="2025-11-01T00:00:00"/>
    <s v="Sargodha Waste Management Company (SGWMC)"/>
    <s v="Sargodha"/>
    <s v="Sargodha"/>
    <s v="Bhalwal"/>
    <s v="Tehsil Office, Bhalwal"/>
    <x v="2"/>
    <s v="Commercial Urban Small business"/>
    <n v="1000"/>
    <n v="105"/>
    <s v="https://suthra.punjab.gov.pk/suthra-nfs/suthra/uploads/suthra-punjab-bill/2025/11/18/9/32/139/bill-spj-15318-area-5780-02-58-37.pdf"/>
    <s v="1Bill"/>
    <x v="0"/>
    <n v="1000"/>
    <s v="paid"/>
    <n v="1"/>
  </r>
  <r>
    <n v="201"/>
    <s v="26770110100911005383"/>
    <d v="2025-11-01T00:00:00"/>
    <s v="Sargodha Waste Management Company (SGWMC)"/>
    <s v="Sargodha"/>
    <s v="Sargodha"/>
    <s v="Bhalwal"/>
    <s v="Tehsil Office, Bhalwal"/>
    <x v="3"/>
    <s v="Commercial Urban Small business"/>
    <n v="500"/>
    <n v="50"/>
    <s v="https://suthra.punjab.gov.pk/suthra-nfs/suthra/uploads/suthra-punjab-bill/2025/11/18/9/32/139/bill-spj-15388-area-5764-02-59-04.pdf"/>
    <s v="1Bill"/>
    <x v="1"/>
    <n v="500"/>
    <s v="paid"/>
    <n v="1"/>
  </r>
  <r>
    <n v="70"/>
    <s v="26770110100911004688"/>
    <d v="2025-11-01T00:00:00"/>
    <s v="Sargodha Waste Management Company (SGWMC)"/>
    <s v="Sargodha"/>
    <s v="Sargodha"/>
    <s v="Bhalwal"/>
    <s v="Tehsil Office, Bhalwal"/>
    <x v="2"/>
    <s v="Commercial Urban Medium business"/>
    <n v="1000"/>
    <n v="100"/>
    <s v="https://suthra.punjab.gov.pk/suthra-nfs/suthra/uploads/suthra-punjab-bill/2025/11/18/9/32/139/bill-spj-15313-area-5780-02-58-36.pdf"/>
    <s v="1Bill"/>
    <x v="2"/>
    <n v="1000"/>
    <s v="paid"/>
    <n v="1"/>
  </r>
  <r>
    <n v="240"/>
    <s v="26770110100911005135"/>
    <d v="2025-11-01T00:00:00"/>
    <s v="Sargodha Waste Management Company (SGWMC)"/>
    <s v="Sargodha"/>
    <s v="Sargodha"/>
    <s v="Bhalwal"/>
    <s v="Tehsil Office, Bhalwal"/>
    <x v="3"/>
    <s v="Commercial Urban Small business"/>
    <n v="500"/>
    <n v="50"/>
    <s v="https://suthra.punjab.gov.pk/suthra-nfs/suthra/uploads/suthra-punjab-bill/2025/11/18/9/32/139/bill-spj-15387-area-5764-02-59-04.pdf"/>
    <s v="1Bill"/>
    <x v="2"/>
    <n v="500"/>
    <s v="paid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9BFD3-C067-473D-8733-49280ADD054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9:G43" firstHeaderRow="0" firstDataRow="1" firstDataCol="1"/>
  <pivotFields count="18">
    <pivotField showAll="0"/>
    <pivotField showAll="0"/>
    <pivotField numFmtId="1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m="1" x="4"/>
        <item x="2"/>
        <item x="1"/>
        <item x="0"/>
        <item m="1" x="3"/>
        <item t="default"/>
      </items>
    </pivotField>
    <pivotField dataField="1" showAll="0"/>
    <pivotField showAll="0"/>
    <pivotField showAll="0"/>
  </pivotFields>
  <rowFields count="1">
    <field x="14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id Amount" fld="15" baseField="0" baseItem="0"/>
    <dataField name="Count of Paid Amount2" fld="15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44799-243F-4722-8180-BA169B655D1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C44" firstHeaderRow="0" firstDataRow="1" firstDataCol="1"/>
  <pivotFields count="18">
    <pivotField showAll="0"/>
    <pivotField showAll="0"/>
    <pivotField numFmtId="17" showAll="0"/>
    <pivotField showAll="0"/>
    <pivotField showAll="0"/>
    <pivotField showAll="0"/>
    <pivotField showAll="0"/>
    <pivotField showAll="0"/>
    <pivotField axis="axisRow" showAll="0">
      <items count="25">
        <item m="1" x="20"/>
        <item m="1" x="11"/>
        <item m="1" x="9"/>
        <item m="1" x="6"/>
        <item m="1" x="14"/>
        <item m="1" x="15"/>
        <item m="1" x="10"/>
        <item m="1" x="16"/>
        <item m="1" x="22"/>
        <item m="1" x="18"/>
        <item m="1" x="5"/>
        <item m="1" x="8"/>
        <item m="1" x="7"/>
        <item m="1" x="4"/>
        <item m="1" x="19"/>
        <item m="1" x="17"/>
        <item m="1" x="21"/>
        <item m="1" x="23"/>
        <item m="1" x="13"/>
        <item m="1" x="12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8"/>
  </rowFields>
  <rowItems count="5"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id Amount" fld="15" baseField="0" baseItem="0"/>
    <dataField name="Count of Paid Amount2" fld="15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4A56F-D2E8-49B4-82B7-0B9F46E247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7" firstHeaderRow="1" firstDataRow="2" firstDataCol="1"/>
  <pivotFields count="18">
    <pivotField showAll="0"/>
    <pivotField showAll="0"/>
    <pivotField numFmtId="17" showAll="0"/>
    <pivotField showAll="0"/>
    <pivotField showAll="0"/>
    <pivotField showAll="0"/>
    <pivotField showAll="0"/>
    <pivotField showAll="0"/>
    <pivotField axis="axisRow" showAll="0">
      <items count="25">
        <item m="1" x="20"/>
        <item m="1" x="11"/>
        <item m="1" x="9"/>
        <item m="1" x="6"/>
        <item m="1" x="14"/>
        <item m="1" x="15"/>
        <item m="1" x="10"/>
        <item m="1" x="16"/>
        <item m="1" x="22"/>
        <item m="1" x="18"/>
        <item m="1" x="5"/>
        <item m="1" x="8"/>
        <item m="1" x="7"/>
        <item m="1" x="4"/>
        <item m="1" x="19"/>
        <item m="1" x="17"/>
        <item m="1" x="21"/>
        <item m="1" x="23"/>
        <item m="1" x="13"/>
        <item m="1" x="12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m="1" x="4"/>
        <item x="2"/>
        <item x="1"/>
        <item x="0"/>
        <item m="1" x="3"/>
        <item t="default"/>
      </items>
    </pivotField>
    <pivotField dataField="1" showAll="0"/>
    <pivotField showAll="0"/>
    <pivotField showAll="0"/>
  </pivotFields>
  <rowFields count="1">
    <field x="8"/>
  </rowFields>
  <rowItems count="5">
    <i>
      <x v="20"/>
    </i>
    <i>
      <x v="21"/>
    </i>
    <i>
      <x v="22"/>
    </i>
    <i>
      <x v="23"/>
    </i>
    <i t="grand">
      <x/>
    </i>
  </rowItems>
  <colFields count="1">
    <field x="14"/>
  </colFields>
  <colItems count="4">
    <i>
      <x v="1"/>
    </i>
    <i>
      <x v="2"/>
    </i>
    <i>
      <x v="3"/>
    </i>
    <i t="grand">
      <x/>
    </i>
  </colItems>
  <dataFields count="1">
    <dataField name="Sum of Paid Amou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A7CD7-C952-40D4-951A-D1ECB35A1174}" name="paid" displayName="paid" ref="A1:R17" totalsRowShown="0" headerRowDxfId="20" dataDxfId="19">
  <autoFilter ref="A1:R17" xr:uid="{7324FD1D-0678-4BB8-ADD1-306F0A013D07}"/>
  <tableColumns count="18">
    <tableColumn id="1" xr3:uid="{22798826-2C79-4126-A187-B39B5CD40B69}" name="Sr#" dataDxfId="18"/>
    <tableColumn id="2" xr3:uid="{46C75926-76BD-4AE9-A3B8-9596C06D00BB}" name="PSID" dataDxfId="17"/>
    <tableColumn id="3" xr3:uid="{EAFD8C2D-F145-49BD-857B-A1E78C038724}" name="Month" dataDxfId="16"/>
    <tableColumn id="4" xr3:uid="{68A6CB5C-D137-4102-BCEE-C7D60C4BC361}" name="WMC" dataDxfId="15"/>
    <tableColumn id="5" xr3:uid="{903FD91E-F762-47DB-8B32-47023167DD14}" name="Division" dataDxfId="14"/>
    <tableColumn id="6" xr3:uid="{86C77591-5735-4B08-A9F5-40D86F3551F7}" name="District" dataDxfId="13"/>
    <tableColumn id="7" xr3:uid="{7A72344E-D3D1-4194-A658-B8BFFEECC9BC}" name="Tehsil" dataDxfId="12"/>
    <tableColumn id="8" xr3:uid="{6110C982-CCA4-4A7D-B64D-AF3E63BCDFAA}" name="Office" dataDxfId="11"/>
    <tableColumn id="9" xr3:uid="{6EDC4A54-F2E9-4799-9320-0D40CC72196B}" name="UC" dataDxfId="10"/>
    <tableColumn id="10" xr3:uid="{EDA8E248-A59C-44E6-85F1-0E5BEBF2DCAD}" name="Billing Category" dataDxfId="9"/>
    <tableColumn id="11" xr3:uid="{9A454707-A689-4D1D-A246-C667064FE838}" name="Amount" dataDxfId="8"/>
    <tableColumn id="12" xr3:uid="{1B7BEAFC-31C5-46FA-AF4C-2BA8D6CD2A45}" name="Fine" dataDxfId="7"/>
    <tableColumn id="13" xr3:uid="{5476EBCA-2590-4285-8F75-69FE0CDB947F}" name="Bill PDF" dataDxfId="6"/>
    <tableColumn id="14" xr3:uid="{052620C6-28F3-434C-97B9-3A1942F33099}" name="Channel" dataDxfId="5"/>
    <tableColumn id="15" xr3:uid="{87AED398-B96A-4A15-9EA0-A5D5EE2741C9}" name="Paid Date" dataDxfId="4"/>
    <tableColumn id="16" xr3:uid="{05EF8BEB-1D88-401D-827D-55AB8DA6A246}" name="Paid Amount" dataDxfId="3"/>
    <tableColumn id="17" xr3:uid="{699E7AE8-3B6D-4FBA-B323-743B33CA15FD}" name="Status" dataDxfId="2"/>
    <tableColumn id="18" xr3:uid="{39DDE3C1-0525-44B8-8819-2A65FF2A0BC3}" name="Activ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18FA-4D28-4880-BC19-B3B7EF91B9FD}">
  <dimension ref="A1:R17"/>
  <sheetViews>
    <sheetView workbookViewId="0">
      <pane ySplit="1" topLeftCell="A2" activePane="bottomLeft" state="frozen"/>
      <selection pane="bottomLeft" activeCell="A2" sqref="A2:R17"/>
    </sheetView>
  </sheetViews>
  <sheetFormatPr defaultRowHeight="11.25" x14ac:dyDescent="0.2"/>
  <cols>
    <col min="1" max="1" width="5.28515625" style="1" bestFit="1" customWidth="1"/>
    <col min="2" max="2" width="18.42578125" style="2" bestFit="1" customWidth="1"/>
    <col min="3" max="3" width="7.85546875" style="1" bestFit="1" customWidth="1"/>
    <col min="4" max="4" width="35.140625" style="1" bestFit="1" customWidth="1"/>
    <col min="5" max="5" width="8.5703125" style="1" bestFit="1" customWidth="1"/>
    <col min="6" max="6" width="8.140625" style="1" bestFit="1" customWidth="1"/>
    <col min="7" max="7" width="7.28515625" style="1" bestFit="1" customWidth="1"/>
    <col min="8" max="8" width="16.28515625" style="1" bestFit="1" customWidth="1"/>
    <col min="9" max="9" width="30.42578125" style="1" bestFit="1" customWidth="1"/>
    <col min="10" max="10" width="26.28515625" style="1" bestFit="1" customWidth="1"/>
    <col min="11" max="11" width="8.7109375" style="1" bestFit="1" customWidth="1"/>
    <col min="12" max="12" width="6.140625" style="1" bestFit="1" customWidth="1"/>
    <col min="13" max="13" width="8.28515625" style="1" bestFit="1" customWidth="1"/>
    <col min="14" max="14" width="8.7109375" style="1" bestFit="1" customWidth="1"/>
    <col min="15" max="15" width="9.7109375" style="1" bestFit="1" customWidth="1"/>
    <col min="16" max="16" width="11.85546875" style="1" bestFit="1" customWidth="1"/>
    <col min="17" max="17" width="7.28515625" style="1" bestFit="1" customWidth="1"/>
    <col min="18" max="18" width="7.5703125" style="1" bestFit="1" customWidth="1"/>
    <col min="19" max="16384" width="9.140625" style="1"/>
  </cols>
  <sheetData>
    <row r="1" spans="1:1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>
        <v>1</v>
      </c>
      <c r="B2" s="2" t="s">
        <v>57</v>
      </c>
      <c r="C2" s="3">
        <v>45962</v>
      </c>
      <c r="D2" s="1" t="s">
        <v>22</v>
      </c>
      <c r="E2" s="1" t="s">
        <v>23</v>
      </c>
      <c r="F2" s="1" t="s">
        <v>23</v>
      </c>
      <c r="G2" s="1" t="s">
        <v>37</v>
      </c>
      <c r="H2" s="1" t="s">
        <v>38</v>
      </c>
      <c r="I2" s="1" t="s">
        <v>42</v>
      </c>
      <c r="J2" s="1" t="s">
        <v>26</v>
      </c>
      <c r="K2" s="1">
        <v>300</v>
      </c>
      <c r="L2" s="1">
        <v>30</v>
      </c>
      <c r="M2" s="1" t="s">
        <v>43</v>
      </c>
      <c r="N2" s="1" t="s">
        <v>27</v>
      </c>
      <c r="O2" s="1" t="s">
        <v>58</v>
      </c>
      <c r="P2" s="1">
        <v>300</v>
      </c>
      <c r="Q2" s="1" t="s">
        <v>25</v>
      </c>
      <c r="R2" s="1">
        <v>1</v>
      </c>
    </row>
    <row r="3" spans="1:18" x14ac:dyDescent="0.2">
      <c r="A3" s="1">
        <v>2</v>
      </c>
      <c r="B3" s="2" t="s">
        <v>59</v>
      </c>
      <c r="C3" s="3">
        <v>45962</v>
      </c>
      <c r="D3" s="1" t="s">
        <v>22</v>
      </c>
      <c r="E3" s="1" t="s">
        <v>23</v>
      </c>
      <c r="F3" s="1" t="s">
        <v>23</v>
      </c>
      <c r="G3" s="1" t="s">
        <v>37</v>
      </c>
      <c r="H3" s="1" t="s">
        <v>38</v>
      </c>
      <c r="I3" s="1" t="s">
        <v>60</v>
      </c>
      <c r="J3" s="1" t="s">
        <v>24</v>
      </c>
      <c r="K3" s="1">
        <v>1000</v>
      </c>
      <c r="L3" s="1">
        <v>105</v>
      </c>
      <c r="M3" s="1" t="s">
        <v>61</v>
      </c>
      <c r="N3" s="1" t="s">
        <v>27</v>
      </c>
      <c r="O3" s="1" t="s">
        <v>58</v>
      </c>
      <c r="P3" s="1">
        <v>1000</v>
      </c>
      <c r="Q3" s="1" t="s">
        <v>25</v>
      </c>
      <c r="R3" s="1">
        <v>1</v>
      </c>
    </row>
    <row r="4" spans="1:18" x14ac:dyDescent="0.2">
      <c r="A4" s="1">
        <v>3</v>
      </c>
      <c r="B4" s="2" t="s">
        <v>62</v>
      </c>
      <c r="C4" s="3">
        <v>45962</v>
      </c>
      <c r="D4" s="1" t="s">
        <v>22</v>
      </c>
      <c r="E4" s="1" t="s">
        <v>23</v>
      </c>
      <c r="F4" s="1" t="s">
        <v>23</v>
      </c>
      <c r="G4" s="1" t="s">
        <v>37</v>
      </c>
      <c r="H4" s="1" t="s">
        <v>38</v>
      </c>
      <c r="I4" s="1" t="s">
        <v>60</v>
      </c>
      <c r="J4" s="1" t="s">
        <v>24</v>
      </c>
      <c r="K4" s="1">
        <v>1000</v>
      </c>
      <c r="L4" s="1">
        <v>105</v>
      </c>
      <c r="M4" s="1" t="s">
        <v>63</v>
      </c>
      <c r="N4" s="1" t="s">
        <v>27</v>
      </c>
      <c r="O4" s="1" t="s">
        <v>64</v>
      </c>
      <c r="P4" s="1">
        <v>1000</v>
      </c>
      <c r="Q4" s="1" t="s">
        <v>25</v>
      </c>
      <c r="R4" s="1">
        <v>1</v>
      </c>
    </row>
    <row r="5" spans="1:18" x14ac:dyDescent="0.2">
      <c r="A5" s="1">
        <v>4</v>
      </c>
      <c r="B5" s="2" t="s">
        <v>65</v>
      </c>
      <c r="C5" s="3">
        <v>45962</v>
      </c>
      <c r="D5" s="1" t="s">
        <v>22</v>
      </c>
      <c r="E5" s="1" t="s">
        <v>23</v>
      </c>
      <c r="F5" s="1" t="s">
        <v>23</v>
      </c>
      <c r="G5" s="1" t="s">
        <v>37</v>
      </c>
      <c r="H5" s="1" t="s">
        <v>38</v>
      </c>
      <c r="I5" s="1" t="s">
        <v>39</v>
      </c>
      <c r="J5" s="1" t="s">
        <v>24</v>
      </c>
      <c r="K5" s="1">
        <v>1000</v>
      </c>
      <c r="L5" s="1">
        <v>105</v>
      </c>
      <c r="M5" s="1" t="s">
        <v>40</v>
      </c>
      <c r="N5" s="1" t="s">
        <v>27</v>
      </c>
      <c r="O5" s="1" t="s">
        <v>64</v>
      </c>
      <c r="P5" s="1">
        <v>1000</v>
      </c>
      <c r="Q5" s="1" t="s">
        <v>25</v>
      </c>
      <c r="R5" s="1">
        <v>1</v>
      </c>
    </row>
    <row r="6" spans="1:18" x14ac:dyDescent="0.2">
      <c r="A6" s="1">
        <v>5</v>
      </c>
      <c r="B6" s="2" t="s">
        <v>66</v>
      </c>
      <c r="C6" s="3">
        <v>45962</v>
      </c>
      <c r="D6" s="1" t="s">
        <v>22</v>
      </c>
      <c r="E6" s="1" t="s">
        <v>23</v>
      </c>
      <c r="F6" s="1" t="s">
        <v>23</v>
      </c>
      <c r="G6" s="1" t="s">
        <v>37</v>
      </c>
      <c r="H6" s="1" t="s">
        <v>38</v>
      </c>
      <c r="I6" s="1" t="s">
        <v>60</v>
      </c>
      <c r="J6" s="1" t="s">
        <v>24</v>
      </c>
      <c r="K6" s="1">
        <v>1000</v>
      </c>
      <c r="L6" s="1">
        <v>105</v>
      </c>
      <c r="M6" s="1" t="s">
        <v>61</v>
      </c>
      <c r="N6" s="1" t="s">
        <v>27</v>
      </c>
      <c r="O6" s="1" t="s">
        <v>64</v>
      </c>
      <c r="P6" s="1">
        <v>1000</v>
      </c>
      <c r="Q6" s="1" t="s">
        <v>25</v>
      </c>
      <c r="R6" s="1">
        <v>1</v>
      </c>
    </row>
    <row r="7" spans="1:18" x14ac:dyDescent="0.2">
      <c r="A7" s="1">
        <v>6</v>
      </c>
      <c r="B7" s="2" t="s">
        <v>67</v>
      </c>
      <c r="C7" s="3">
        <v>45962</v>
      </c>
      <c r="D7" s="1" t="s">
        <v>22</v>
      </c>
      <c r="E7" s="1" t="s">
        <v>23</v>
      </c>
      <c r="F7" s="1" t="s">
        <v>23</v>
      </c>
      <c r="G7" s="1" t="s">
        <v>37</v>
      </c>
      <c r="H7" s="1" t="s">
        <v>38</v>
      </c>
      <c r="I7" s="1" t="s">
        <v>68</v>
      </c>
      <c r="J7" s="1" t="s">
        <v>24</v>
      </c>
      <c r="K7" s="1">
        <v>500</v>
      </c>
      <c r="L7" s="1">
        <v>50</v>
      </c>
      <c r="M7" s="1" t="s">
        <v>69</v>
      </c>
      <c r="N7" s="1" t="s">
        <v>27</v>
      </c>
      <c r="O7" s="1" t="s">
        <v>64</v>
      </c>
      <c r="P7" s="1">
        <v>500</v>
      </c>
      <c r="Q7" s="1" t="s">
        <v>25</v>
      </c>
      <c r="R7" s="1">
        <v>1</v>
      </c>
    </row>
    <row r="8" spans="1:18" x14ac:dyDescent="0.2">
      <c r="A8" s="1">
        <v>7</v>
      </c>
      <c r="B8" s="2" t="s">
        <v>70</v>
      </c>
      <c r="C8" s="3">
        <v>45962</v>
      </c>
      <c r="D8" s="1" t="s">
        <v>22</v>
      </c>
      <c r="E8" s="1" t="s">
        <v>23</v>
      </c>
      <c r="F8" s="1" t="s">
        <v>23</v>
      </c>
      <c r="G8" s="1" t="s">
        <v>37</v>
      </c>
      <c r="H8" s="1" t="s">
        <v>38</v>
      </c>
      <c r="I8" s="1" t="s">
        <v>60</v>
      </c>
      <c r="J8" s="1" t="s">
        <v>24</v>
      </c>
      <c r="K8" s="1">
        <v>1000</v>
      </c>
      <c r="L8" s="1">
        <v>105</v>
      </c>
      <c r="M8" s="1" t="s">
        <v>63</v>
      </c>
      <c r="N8" s="1" t="s">
        <v>27</v>
      </c>
      <c r="O8" s="1" t="s">
        <v>64</v>
      </c>
      <c r="P8" s="1">
        <v>1000</v>
      </c>
      <c r="Q8" s="1" t="s">
        <v>25</v>
      </c>
      <c r="R8" s="1">
        <v>1</v>
      </c>
    </row>
    <row r="9" spans="1:18" x14ac:dyDescent="0.2">
      <c r="A9" s="1">
        <v>8</v>
      </c>
      <c r="B9" s="2" t="s">
        <v>71</v>
      </c>
      <c r="C9" s="3">
        <v>45962</v>
      </c>
      <c r="D9" s="1" t="s">
        <v>22</v>
      </c>
      <c r="E9" s="1" t="s">
        <v>23</v>
      </c>
      <c r="F9" s="1" t="s">
        <v>23</v>
      </c>
      <c r="G9" s="1" t="s">
        <v>37</v>
      </c>
      <c r="H9" s="1" t="s">
        <v>38</v>
      </c>
      <c r="I9" s="1" t="s">
        <v>72</v>
      </c>
      <c r="J9" s="1" t="s">
        <v>26</v>
      </c>
      <c r="K9" s="1">
        <v>300</v>
      </c>
      <c r="L9" s="1">
        <v>30</v>
      </c>
      <c r="M9" s="1" t="s">
        <v>73</v>
      </c>
      <c r="N9" s="1" t="s">
        <v>27</v>
      </c>
      <c r="O9" s="1" t="s">
        <v>64</v>
      </c>
      <c r="P9" s="1">
        <v>300</v>
      </c>
      <c r="Q9" s="1" t="s">
        <v>25</v>
      </c>
      <c r="R9" s="1">
        <v>1</v>
      </c>
    </row>
    <row r="10" spans="1:18" x14ac:dyDescent="0.2">
      <c r="A10" s="1">
        <v>9</v>
      </c>
      <c r="B10" s="2" t="s">
        <v>74</v>
      </c>
      <c r="C10" s="3">
        <v>45962</v>
      </c>
      <c r="D10" s="1" t="s">
        <v>22</v>
      </c>
      <c r="E10" s="1" t="s">
        <v>23</v>
      </c>
      <c r="F10" s="1" t="s">
        <v>23</v>
      </c>
      <c r="G10" s="1" t="s">
        <v>37</v>
      </c>
      <c r="H10" s="1" t="s">
        <v>38</v>
      </c>
      <c r="I10" s="1" t="s">
        <v>68</v>
      </c>
      <c r="J10" s="1" t="s">
        <v>24</v>
      </c>
      <c r="K10" s="1">
        <v>500</v>
      </c>
      <c r="L10" s="1">
        <v>50</v>
      </c>
      <c r="M10" s="1" t="s">
        <v>69</v>
      </c>
      <c r="N10" s="1" t="s">
        <v>27</v>
      </c>
      <c r="O10" s="1" t="s">
        <v>64</v>
      </c>
      <c r="P10" s="1">
        <v>500</v>
      </c>
      <c r="Q10" s="1" t="s">
        <v>25</v>
      </c>
      <c r="R10" s="1">
        <v>1</v>
      </c>
    </row>
    <row r="11" spans="1:18" x14ac:dyDescent="0.2">
      <c r="A11" s="1">
        <v>10</v>
      </c>
      <c r="B11" s="2" t="s">
        <v>36</v>
      </c>
      <c r="C11" s="3">
        <v>45962</v>
      </c>
      <c r="D11" s="1" t="s">
        <v>22</v>
      </c>
      <c r="E11" s="1" t="s">
        <v>23</v>
      </c>
      <c r="F11" s="1" t="s">
        <v>23</v>
      </c>
      <c r="G11" s="1" t="s">
        <v>37</v>
      </c>
      <c r="H11" s="1" t="s">
        <v>38</v>
      </c>
      <c r="I11" s="1" t="s">
        <v>39</v>
      </c>
      <c r="J11" s="1" t="s">
        <v>24</v>
      </c>
      <c r="K11" s="1">
        <v>500</v>
      </c>
      <c r="L11" s="1">
        <v>50</v>
      </c>
      <c r="M11" s="1" t="s">
        <v>40</v>
      </c>
      <c r="N11" s="1" t="s">
        <v>27</v>
      </c>
      <c r="O11" s="1" t="s">
        <v>28</v>
      </c>
      <c r="P11" s="1">
        <v>500</v>
      </c>
      <c r="Q11" s="1" t="s">
        <v>25</v>
      </c>
      <c r="R11" s="1">
        <v>1</v>
      </c>
    </row>
    <row r="12" spans="1:18" x14ac:dyDescent="0.2">
      <c r="A12" s="1">
        <v>11</v>
      </c>
      <c r="B12" s="2" t="s">
        <v>45</v>
      </c>
      <c r="C12" s="3">
        <v>45962</v>
      </c>
      <c r="D12" s="1" t="s">
        <v>22</v>
      </c>
      <c r="E12" s="1" t="s">
        <v>23</v>
      </c>
      <c r="F12" s="1" t="s">
        <v>23</v>
      </c>
      <c r="G12" s="1" t="s">
        <v>37</v>
      </c>
      <c r="H12" s="1" t="s">
        <v>38</v>
      </c>
      <c r="I12" s="1" t="s">
        <v>46</v>
      </c>
      <c r="J12" s="1" t="s">
        <v>24</v>
      </c>
      <c r="K12" s="1">
        <v>1000</v>
      </c>
      <c r="L12" s="1">
        <v>105</v>
      </c>
      <c r="M12" s="1" t="s">
        <v>47</v>
      </c>
      <c r="N12" s="1" t="s">
        <v>27</v>
      </c>
      <c r="O12" s="1" t="s">
        <v>28</v>
      </c>
      <c r="P12" s="1">
        <v>1000</v>
      </c>
      <c r="Q12" s="1" t="s">
        <v>25</v>
      </c>
      <c r="R12" s="1">
        <v>1</v>
      </c>
    </row>
    <row r="13" spans="1:18" x14ac:dyDescent="0.2">
      <c r="A13" s="1">
        <v>12</v>
      </c>
      <c r="B13" s="2" t="s">
        <v>44</v>
      </c>
      <c r="C13" s="3">
        <v>45962</v>
      </c>
      <c r="D13" s="1" t="s">
        <v>22</v>
      </c>
      <c r="E13" s="1" t="s">
        <v>23</v>
      </c>
      <c r="F13" s="1" t="s">
        <v>23</v>
      </c>
      <c r="G13" s="1" t="s">
        <v>37</v>
      </c>
      <c r="H13" s="1" t="s">
        <v>38</v>
      </c>
      <c r="I13" s="1" t="s">
        <v>39</v>
      </c>
      <c r="J13" s="1" t="s">
        <v>24</v>
      </c>
      <c r="K13" s="1">
        <v>500</v>
      </c>
      <c r="L13" s="1">
        <v>50</v>
      </c>
      <c r="M13" s="1" t="s">
        <v>40</v>
      </c>
      <c r="N13" s="1" t="s">
        <v>27</v>
      </c>
      <c r="O13" s="1" t="s">
        <v>28</v>
      </c>
      <c r="P13" s="1">
        <v>500</v>
      </c>
      <c r="Q13" s="1" t="s">
        <v>25</v>
      </c>
      <c r="R13" s="1">
        <v>1</v>
      </c>
    </row>
    <row r="14" spans="1:18" x14ac:dyDescent="0.2">
      <c r="A14" s="1">
        <v>13</v>
      </c>
      <c r="B14" s="2" t="s">
        <v>41</v>
      </c>
      <c r="C14" s="3">
        <v>45962</v>
      </c>
      <c r="D14" s="1" t="s">
        <v>22</v>
      </c>
      <c r="E14" s="1" t="s">
        <v>23</v>
      </c>
      <c r="F14" s="1" t="s">
        <v>23</v>
      </c>
      <c r="G14" s="1" t="s">
        <v>37</v>
      </c>
      <c r="H14" s="1" t="s">
        <v>38</v>
      </c>
      <c r="I14" s="1" t="s">
        <v>42</v>
      </c>
      <c r="J14" s="1" t="s">
        <v>26</v>
      </c>
      <c r="K14" s="1">
        <v>300</v>
      </c>
      <c r="L14" s="1">
        <v>30</v>
      </c>
      <c r="M14" s="1" t="s">
        <v>43</v>
      </c>
      <c r="N14" s="1" t="s">
        <v>27</v>
      </c>
      <c r="O14" s="1" t="s">
        <v>28</v>
      </c>
      <c r="P14" s="1">
        <v>300</v>
      </c>
      <c r="Q14" s="1" t="s">
        <v>25</v>
      </c>
      <c r="R14" s="1">
        <v>1</v>
      </c>
    </row>
    <row r="15" spans="1:18" x14ac:dyDescent="0.2">
      <c r="A15" s="1">
        <v>14</v>
      </c>
      <c r="B15" s="2" t="s">
        <v>48</v>
      </c>
      <c r="C15" s="3">
        <v>45962</v>
      </c>
      <c r="D15" s="1" t="s">
        <v>22</v>
      </c>
      <c r="E15" s="1" t="s">
        <v>23</v>
      </c>
      <c r="F15" s="1" t="s">
        <v>23</v>
      </c>
      <c r="G15" s="1" t="s">
        <v>37</v>
      </c>
      <c r="H15" s="1" t="s">
        <v>38</v>
      </c>
      <c r="I15" s="1" t="s">
        <v>49</v>
      </c>
      <c r="J15" s="1" t="s">
        <v>24</v>
      </c>
      <c r="K15" s="1">
        <v>500</v>
      </c>
      <c r="L15" s="1">
        <v>50</v>
      </c>
      <c r="M15" s="1" t="s">
        <v>50</v>
      </c>
      <c r="N15" s="1" t="s">
        <v>27</v>
      </c>
      <c r="O15" s="1" t="s">
        <v>29</v>
      </c>
      <c r="P15" s="1">
        <v>500</v>
      </c>
      <c r="Q15" s="1" t="s">
        <v>25</v>
      </c>
      <c r="R15" s="1">
        <v>1</v>
      </c>
    </row>
    <row r="16" spans="1:18" x14ac:dyDescent="0.2">
      <c r="A16" s="1">
        <v>15</v>
      </c>
      <c r="B16" s="2" t="s">
        <v>54</v>
      </c>
      <c r="C16" s="3">
        <v>45962</v>
      </c>
      <c r="D16" s="1" t="s">
        <v>22</v>
      </c>
      <c r="E16" s="1" t="s">
        <v>23</v>
      </c>
      <c r="F16" s="1" t="s">
        <v>23</v>
      </c>
      <c r="G16" s="1" t="s">
        <v>37</v>
      </c>
      <c r="H16" s="1" t="s">
        <v>38</v>
      </c>
      <c r="I16" s="1" t="s">
        <v>49</v>
      </c>
      <c r="J16" s="1" t="s">
        <v>24</v>
      </c>
      <c r="K16" s="1">
        <v>500</v>
      </c>
      <c r="L16" s="1">
        <v>50</v>
      </c>
      <c r="M16" s="1" t="s">
        <v>55</v>
      </c>
      <c r="N16" s="1" t="s">
        <v>27</v>
      </c>
      <c r="O16" s="1" t="s">
        <v>30</v>
      </c>
      <c r="P16" s="1">
        <v>500</v>
      </c>
      <c r="Q16" s="1" t="s">
        <v>25</v>
      </c>
      <c r="R16" s="1">
        <v>1</v>
      </c>
    </row>
    <row r="17" spans="1:18" x14ac:dyDescent="0.2">
      <c r="A17" s="1">
        <v>16</v>
      </c>
      <c r="B17" s="2" t="s">
        <v>51</v>
      </c>
      <c r="C17" s="3">
        <v>45962</v>
      </c>
      <c r="D17" s="1" t="s">
        <v>22</v>
      </c>
      <c r="E17" s="1" t="s">
        <v>23</v>
      </c>
      <c r="F17" s="1" t="s">
        <v>23</v>
      </c>
      <c r="G17" s="1" t="s">
        <v>37</v>
      </c>
      <c r="H17" s="1" t="s">
        <v>38</v>
      </c>
      <c r="I17" s="1" t="s">
        <v>46</v>
      </c>
      <c r="J17" s="1" t="s">
        <v>52</v>
      </c>
      <c r="K17" s="1">
        <v>1000</v>
      </c>
      <c r="L17" s="1">
        <v>100</v>
      </c>
      <c r="M17" s="1" t="s">
        <v>53</v>
      </c>
      <c r="N17" s="1" t="s">
        <v>27</v>
      </c>
      <c r="O17" s="1" t="s">
        <v>30</v>
      </c>
      <c r="P17" s="1">
        <v>1000</v>
      </c>
      <c r="Q17" s="1" t="s">
        <v>25</v>
      </c>
      <c r="R17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A197-9C9A-4564-AFBB-7815F24AAC99}">
  <dimension ref="A1:H33"/>
  <sheetViews>
    <sheetView tabSelected="1" workbookViewId="0">
      <selection activeCell="G16" sqref="G16"/>
    </sheetView>
  </sheetViews>
  <sheetFormatPr defaultRowHeight="15" x14ac:dyDescent="0.25"/>
  <cols>
    <col min="1" max="1" width="12" style="4" bestFit="1" customWidth="1"/>
    <col min="2" max="2" width="15.7109375" style="4" bestFit="1" customWidth="1"/>
    <col min="3" max="3" width="9.140625" style="4"/>
    <col min="4" max="4" width="34.140625" style="4" bestFit="1" customWidth="1"/>
    <col min="5" max="5" width="10.5703125" style="4" bestFit="1" customWidth="1"/>
    <col min="6" max="6" width="17.5703125" style="4" bestFit="1" customWidth="1"/>
    <col min="7" max="7" width="36.7109375" style="4" bestFit="1" customWidth="1"/>
    <col min="8" max="16384" width="9.140625" style="4"/>
  </cols>
  <sheetData>
    <row r="1" spans="1:8" ht="15.75" x14ac:dyDescent="0.25">
      <c r="A1" s="15" t="s">
        <v>56</v>
      </c>
      <c r="B1" s="15"/>
      <c r="C1" s="15"/>
      <c r="D1" s="15"/>
      <c r="E1" s="15"/>
      <c r="F1" s="15"/>
      <c r="G1" s="15"/>
      <c r="H1" s="15"/>
    </row>
    <row r="2" spans="1:8" x14ac:dyDescent="0.25">
      <c r="A2" s="7" t="s">
        <v>14</v>
      </c>
      <c r="B2" s="7" t="s">
        <v>21</v>
      </c>
      <c r="C2" s="8"/>
      <c r="D2" s="7" t="s">
        <v>13</v>
      </c>
      <c r="E2" s="7" t="s">
        <v>20</v>
      </c>
      <c r="F2" s="8"/>
      <c r="G2" s="9" t="s">
        <v>19</v>
      </c>
      <c r="H2" s="7" t="s">
        <v>18</v>
      </c>
    </row>
    <row r="3" spans="1:8" x14ac:dyDescent="0.25">
      <c r="A3" s="5" t="str" cm="1">
        <f t="array" ref="A3:B8">_xlfn.LET(
  _xlpm.dates, _xlfn._xlws.SORT(_xlfn.UNIQUE(_xlfn._xlws.FILTER('Paid status'!O2:O4127, 'Paid status'!O2:O4127&lt;&gt;""))),
  _xlpm.totals, _xlfn.MAP(_xlpm.dates, _xlfn.LAMBDA(_xlpm.d, SUMIFS('Paid status'!P2:P4127, 'Paid status'!O2:O4127, _xlpm.d))),
  _xlpm.table, _xlfn.HSTACK(_xlpm.dates, _xlpm.totals),
  _xlpm.grand, _xlfn.HSTACK("Grand Total", SUM(_xlpm.totals)),
  _xlfn.VSTACK(_xlpm.table, _xlpm.grand)
)</f>
        <v>Dec 02, 2025</v>
      </c>
      <c r="B3" s="5">
        <v>1500</v>
      </c>
      <c r="D3" s="4" t="str" cm="1">
        <f t="array" ref="D3:E4">_xlfn.LET(
  _xlpm.ch, _xlfn._xlws.SORT(_xlfn.UNIQUE(_xlfn._xlws.FILTER('Paid status'!N2:N4127, 'Paid status'!N2:N4127&lt;&gt;""))),
  _xlpm.cnt, _xlfn.MAP(_xlpm.ch, _xlfn.LAMBDA(_xlpm.c, COUNTIFS('Paid status'!N2:N4127, _xlpm.c))),
  _xlpm.table, _xlfn.HSTACK(_xlpm.ch, _xlpm.cnt),
  _xlpm.grand, _xlfn.HSTACK("Grand Total", SUM(_xlpm.cnt)),
  _xlfn.VSTACK(_xlpm.table, _xlpm.grand)
)</f>
        <v>1Bill</v>
      </c>
      <c r="E3" s="4">
        <v>16</v>
      </c>
      <c r="G3" s="4" t="str" cm="1">
        <f t="array" ref="G3:H7">_xlfn.LET(
  _xlpm.ucs, _xlfn.UNIQUE(_xlfn._xlws.FILTER('Paid status'!I2:I4127, 'Paid status'!I2:I4127&lt;&gt;"")),
  _xlpm.sums, SUMIF('Paid status'!I2:I4127, _xlpm.ucs, 'Paid status'!P2:P4127),
  _xlpm.tbl, CHOOSE({1,2}, _xlpm.ucs, _xlpm.sums),
  _xlpm.sorted, _xlfn._xlws.SORT(_xlpm.tbl, 2, -1),
  _xlpm.topn, INDEX(_xlpm.sorted, _xlfn.SEQUENCE(MIN(5, ROWS(_xlpm.sorted))), {1,2}),
  _xlpm.topn
)</f>
        <v>MC-21 Block 4 5</v>
      </c>
      <c r="H3" s="4">
        <v>4000</v>
      </c>
    </row>
    <row r="4" spans="1:8" x14ac:dyDescent="0.25">
      <c r="A4" s="5" t="str">
        <v>Dec 03, 2025</v>
      </c>
      <c r="B4" s="5">
        <v>500</v>
      </c>
      <c r="D4" s="4" t="str">
        <v>Grand Total</v>
      </c>
      <c r="E4" s="4">
        <v>16</v>
      </c>
      <c r="G4" s="4" t="str">
        <v>MC-4 Zahoor Hayat Colony Bhalwal</v>
      </c>
      <c r="H4" s="4">
        <v>2000</v>
      </c>
    </row>
    <row r="5" spans="1:8" x14ac:dyDescent="0.25">
      <c r="A5" s="5" t="str">
        <v>Dec 04, 2025</v>
      </c>
      <c r="B5" s="5">
        <v>2300</v>
      </c>
      <c r="E5" s="8"/>
      <c r="G5" s="4" t="str">
        <v>MC-17 Block no 2</v>
      </c>
      <c r="H5" s="4">
        <v>2000</v>
      </c>
    </row>
    <row r="6" spans="1:8" x14ac:dyDescent="0.25">
      <c r="A6" s="5" t="str">
        <v>Dec 05, 2025</v>
      </c>
      <c r="B6" s="5">
        <v>5300</v>
      </c>
      <c r="G6" s="4" t="str">
        <v>MC-3, MANZOOR HAYAT COLONY BHALWAL</v>
      </c>
      <c r="H6" s="4">
        <v>1000</v>
      </c>
    </row>
    <row r="7" spans="1:8" x14ac:dyDescent="0.25">
      <c r="A7" s="5" t="str">
        <v>Dec 06, 2025</v>
      </c>
      <c r="B7" s="5">
        <v>1300</v>
      </c>
      <c r="G7" s="4" t="str">
        <v>MC-2, MANZOOR HAYAT COLONY BHALWAL</v>
      </c>
      <c r="H7" s="4">
        <v>1000</v>
      </c>
    </row>
    <row r="8" spans="1:8" ht="26.25" x14ac:dyDescent="0.4">
      <c r="A8" s="5" t="str">
        <v>Grand Total</v>
      </c>
      <c r="B8" s="6">
        <v>10900</v>
      </c>
      <c r="D8" s="7" t="str" cm="1">
        <f t="array" ref="D8:F12">_xlfn.LET(
  _xlpm.catRange, 'Paid status'!J2:J3991,
  _xlpm.amtRange, 'Paid status'!P2:P3991,
  _xlpm.cats, _xlfn.UNIQUE(_xlfn._xlws.FILTER(_xlpm.catRange, _xlpm.catRange&lt;&gt;"")),
  _xlpm.counts, _xlfn.MAP(_xlpm.cats, _xlfn.LAMBDA(_xlpm.c, COUNTIFS(_xlpm.catRange, _xlpm.c))),
  _xlpm.totals, _xlfn.MAP(_xlpm.cats, _xlfn.LAMBDA(_xlpm.c, SUMIFS(_xlpm.amtRange, _xlpm.catRange, _xlpm.c))),
  _xlpm.tbl, _xlfn.HSTACK(_xlpm.cats, _xlpm.counts, _xlpm.totals),
  _xlpm.sorted, _xlfn._xlws.SORT(_xlpm.tbl, 3, -1),
  _xlpm.grand, _xlfn.HSTACK("Grand Total", SUM(INDEX(_xlpm.sorted,,2)), SUM(INDEX(_xlpm.sorted,,3))),
  _xlpm.header, {"Billing Category","No. of Bills","Total Paid Amount"},
  _xlfn.VSTACK(_xlpm.header, _xlpm.sorted, _xlpm.grand)
)</f>
        <v>Billing Category</v>
      </c>
      <c r="E8" s="7" t="str">
        <v>No. of Bills</v>
      </c>
      <c r="F8" s="7" t="str">
        <v>Total Paid Amount</v>
      </c>
    </row>
    <row r="9" spans="1:8" x14ac:dyDescent="0.25">
      <c r="A9" s="5"/>
      <c r="B9" s="5"/>
      <c r="D9" s="8" t="str">
        <v>Commercial Urban Small business</v>
      </c>
      <c r="E9" s="8">
        <v>12</v>
      </c>
      <c r="F9" s="8">
        <v>9000</v>
      </c>
    </row>
    <row r="10" spans="1:8" x14ac:dyDescent="0.25">
      <c r="A10" s="5"/>
      <c r="B10" s="5"/>
      <c r="D10" s="8" t="str">
        <v>Commercial Urban Medium business</v>
      </c>
      <c r="E10" s="8">
        <v>1</v>
      </c>
      <c r="F10" s="8">
        <v>1000</v>
      </c>
    </row>
    <row r="11" spans="1:8" x14ac:dyDescent="0.25">
      <c r="A11" s="5"/>
      <c r="B11" s="5"/>
      <c r="D11" s="4" t="str">
        <v>Domestic Urban Upto 5 marla</v>
      </c>
      <c r="E11" s="4">
        <v>3</v>
      </c>
      <c r="F11" s="4">
        <v>900</v>
      </c>
    </row>
    <row r="12" spans="1:8" ht="26.25" x14ac:dyDescent="0.4">
      <c r="A12" s="5"/>
      <c r="B12" s="5"/>
      <c r="D12" s="4" t="str">
        <v>Grand Total</v>
      </c>
      <c r="E12" s="10">
        <v>16</v>
      </c>
      <c r="F12" s="10">
        <v>10900</v>
      </c>
    </row>
    <row r="13" spans="1:8" x14ac:dyDescent="0.25">
      <c r="A13" s="5"/>
      <c r="B13" s="5"/>
    </row>
    <row r="14" spans="1:8" x14ac:dyDescent="0.25">
      <c r="A14" s="5"/>
      <c r="B14" s="5"/>
    </row>
    <row r="15" spans="1:8" x14ac:dyDescent="0.25">
      <c r="A15" s="5"/>
      <c r="B15" s="5"/>
      <c r="E15" s="14"/>
      <c r="F15" s="14"/>
    </row>
    <row r="16" spans="1:8" ht="26.25" x14ac:dyDescent="0.4">
      <c r="A16" s="5"/>
      <c r="B16" s="5"/>
      <c r="E16" s="10"/>
      <c r="F16" s="10"/>
    </row>
    <row r="17" spans="1:6" x14ac:dyDescent="0.25">
      <c r="A17" s="5"/>
      <c r="B17" s="7"/>
    </row>
    <row r="18" spans="1:6" x14ac:dyDescent="0.25">
      <c r="A18" s="5"/>
      <c r="B18" s="7"/>
      <c r="E18" s="8"/>
      <c r="F18" s="8"/>
    </row>
    <row r="19" spans="1:6" x14ac:dyDescent="0.25">
      <c r="A19" s="5"/>
      <c r="B19" s="7"/>
    </row>
    <row r="20" spans="1:6" x14ac:dyDescent="0.25">
      <c r="A20" s="5"/>
      <c r="B20" s="7"/>
    </row>
    <row r="21" spans="1:6" x14ac:dyDescent="0.25">
      <c r="A21" s="5"/>
      <c r="B21" s="7"/>
    </row>
    <row r="22" spans="1:6" x14ac:dyDescent="0.25">
      <c r="A22" s="5"/>
      <c r="B22" s="5"/>
    </row>
    <row r="23" spans="1:6" x14ac:dyDescent="0.25">
      <c r="A23" s="5"/>
      <c r="B23" s="5"/>
    </row>
    <row r="24" spans="1:6" x14ac:dyDescent="0.25">
      <c r="A24" s="5"/>
      <c r="B24" s="5"/>
    </row>
    <row r="25" spans="1:6" x14ac:dyDescent="0.25">
      <c r="A25" s="5"/>
      <c r="B25" s="5"/>
    </row>
    <row r="26" spans="1:6" x14ac:dyDescent="0.25">
      <c r="A26" s="5"/>
      <c r="B26" s="7"/>
    </row>
    <row r="27" spans="1:6" x14ac:dyDescent="0.25">
      <c r="A27" s="5"/>
      <c r="B27" s="7"/>
    </row>
    <row r="28" spans="1:6" x14ac:dyDescent="0.25">
      <c r="A28" s="5"/>
      <c r="B28" s="5"/>
    </row>
    <row r="29" spans="1:6" x14ac:dyDescent="0.25">
      <c r="A29" s="5"/>
      <c r="B29" s="5"/>
    </row>
    <row r="30" spans="1:6" x14ac:dyDescent="0.25">
      <c r="A30" s="5"/>
      <c r="B30" s="5"/>
    </row>
    <row r="31" spans="1:6" ht="26.25" x14ac:dyDescent="0.4">
      <c r="A31" s="5"/>
      <c r="B31" s="6"/>
    </row>
    <row r="32" spans="1:6" x14ac:dyDescent="0.25">
      <c r="A32" s="5"/>
      <c r="B32" s="5"/>
    </row>
    <row r="33" spans="1:2" x14ac:dyDescent="0.25">
      <c r="A33" s="5"/>
      <c r="B33" s="5"/>
    </row>
  </sheetData>
  <mergeCells count="1">
    <mergeCell ref="A1:H1"/>
  </mergeCells>
  <conditionalFormatting sqref="A1 I1:XFD1 A2:XFD1048576">
    <cfRule type="containsText" dxfId="0" priority="1" operator="containsText" text="grand total">
      <formula>NOT(ISERROR(SEARCH("grand total",A1)))</formula>
    </cfRule>
  </conditionalFormatting>
  <conditionalFormatting sqref="H3:H7">
    <cfRule type="colorScale" priority="2">
      <colorScale>
        <cfvo type="min"/>
        <cfvo type="max"/>
        <color rgb="FFFCFCFF"/>
        <color rgb="FF63BE7B"/>
      </colorScale>
    </cfRule>
  </conditionalFormatting>
  <pageMargins left="0.25" right="0.25" top="0.75" bottom="0.75" header="0.3" footer="0.3"/>
  <pageSetup paperSize="9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E93A-1AC6-41F3-AA7E-6436FE7D3D81}">
  <dimension ref="A1:G44"/>
  <sheetViews>
    <sheetView workbookViewId="0">
      <selection activeCell="G48" sqref="G48"/>
    </sheetView>
  </sheetViews>
  <sheetFormatPr defaultRowHeight="15" x14ac:dyDescent="0.25"/>
  <cols>
    <col min="1" max="1" width="38.85546875" bestFit="1" customWidth="1"/>
    <col min="2" max="2" width="19.28515625" bestFit="1" customWidth="1"/>
    <col min="3" max="3" width="22" bestFit="1" customWidth="1"/>
    <col min="4" max="4" width="12" bestFit="1" customWidth="1"/>
    <col min="5" max="5" width="13.42578125" bestFit="1" customWidth="1"/>
    <col min="6" max="6" width="19.28515625" bestFit="1" customWidth="1"/>
    <col min="7" max="7" width="22" bestFit="1" customWidth="1"/>
  </cols>
  <sheetData>
    <row r="1" spans="1:5" x14ac:dyDescent="0.25">
      <c r="A1" s="11" t="s">
        <v>33</v>
      </c>
      <c r="B1" s="11" t="s">
        <v>34</v>
      </c>
    </row>
    <row r="2" spans="1:5" x14ac:dyDescent="0.25">
      <c r="A2" s="11" t="s">
        <v>31</v>
      </c>
      <c r="B2" t="s">
        <v>30</v>
      </c>
      <c r="C2" t="s">
        <v>29</v>
      </c>
      <c r="D2" t="s">
        <v>28</v>
      </c>
      <c r="E2" t="s">
        <v>32</v>
      </c>
    </row>
    <row r="3" spans="1:5" x14ac:dyDescent="0.25">
      <c r="A3" s="12" t="s">
        <v>39</v>
      </c>
      <c r="B3" s="13"/>
      <c r="C3" s="13"/>
      <c r="D3" s="13">
        <v>1000</v>
      </c>
      <c r="E3" s="13">
        <v>1000</v>
      </c>
    </row>
    <row r="4" spans="1:5" x14ac:dyDescent="0.25">
      <c r="A4" s="12" t="s">
        <v>42</v>
      </c>
      <c r="B4" s="13"/>
      <c r="C4" s="13"/>
      <c r="D4" s="13">
        <v>300</v>
      </c>
      <c r="E4" s="13">
        <v>300</v>
      </c>
    </row>
    <row r="5" spans="1:5" x14ac:dyDescent="0.25">
      <c r="A5" s="12" t="s">
        <v>46</v>
      </c>
      <c r="B5" s="13">
        <v>1000</v>
      </c>
      <c r="C5" s="13"/>
      <c r="D5" s="13">
        <v>1000</v>
      </c>
      <c r="E5" s="13">
        <v>2000</v>
      </c>
    </row>
    <row r="6" spans="1:5" x14ac:dyDescent="0.25">
      <c r="A6" s="12" t="s">
        <v>49</v>
      </c>
      <c r="B6" s="13">
        <v>500</v>
      </c>
      <c r="C6" s="13">
        <v>500</v>
      </c>
      <c r="D6" s="13"/>
      <c r="E6" s="13">
        <v>1000</v>
      </c>
    </row>
    <row r="7" spans="1:5" x14ac:dyDescent="0.25">
      <c r="A7" s="12" t="s">
        <v>32</v>
      </c>
      <c r="B7" s="13">
        <v>1500</v>
      </c>
      <c r="C7" s="13">
        <v>500</v>
      </c>
      <c r="D7" s="13">
        <v>2300</v>
      </c>
      <c r="E7" s="13">
        <v>4300</v>
      </c>
    </row>
    <row r="39" spans="1:7" x14ac:dyDescent="0.25">
      <c r="A39" s="11" t="s">
        <v>31</v>
      </c>
      <c r="B39" t="s">
        <v>33</v>
      </c>
      <c r="C39" t="s">
        <v>35</v>
      </c>
      <c r="E39" s="11" t="s">
        <v>31</v>
      </c>
      <c r="F39" t="s">
        <v>33</v>
      </c>
      <c r="G39" t="s">
        <v>35</v>
      </c>
    </row>
    <row r="40" spans="1:7" x14ac:dyDescent="0.25">
      <c r="A40" s="12" t="s">
        <v>39</v>
      </c>
      <c r="B40" s="13">
        <v>1000</v>
      </c>
      <c r="C40" s="13">
        <v>2</v>
      </c>
      <c r="E40" s="12" t="s">
        <v>30</v>
      </c>
      <c r="F40" s="13">
        <v>1500</v>
      </c>
      <c r="G40" s="13">
        <v>2</v>
      </c>
    </row>
    <row r="41" spans="1:7" x14ac:dyDescent="0.25">
      <c r="A41" s="12" t="s">
        <v>42</v>
      </c>
      <c r="B41" s="13">
        <v>300</v>
      </c>
      <c r="C41" s="13">
        <v>1</v>
      </c>
      <c r="E41" s="12" t="s">
        <v>29</v>
      </c>
      <c r="F41" s="13">
        <v>500</v>
      </c>
      <c r="G41" s="13">
        <v>1</v>
      </c>
    </row>
    <row r="42" spans="1:7" x14ac:dyDescent="0.25">
      <c r="A42" s="12" t="s">
        <v>46</v>
      </c>
      <c r="B42" s="13">
        <v>2000</v>
      </c>
      <c r="C42" s="13">
        <v>2</v>
      </c>
      <c r="E42" s="12" t="s">
        <v>28</v>
      </c>
      <c r="F42" s="13">
        <v>2300</v>
      </c>
      <c r="G42" s="13">
        <v>4</v>
      </c>
    </row>
    <row r="43" spans="1:7" x14ac:dyDescent="0.25">
      <c r="A43" s="12" t="s">
        <v>49</v>
      </c>
      <c r="B43" s="13">
        <v>1000</v>
      </c>
      <c r="C43" s="13">
        <v>2</v>
      </c>
      <c r="E43" s="12" t="s">
        <v>32</v>
      </c>
      <c r="F43" s="13">
        <v>4300</v>
      </c>
      <c r="G43" s="13">
        <v>7</v>
      </c>
    </row>
    <row r="44" spans="1:7" x14ac:dyDescent="0.25">
      <c r="A44" s="12" t="s">
        <v>32</v>
      </c>
      <c r="B44" s="13">
        <v>4300</v>
      </c>
      <c r="C44" s="1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Paid status</vt:lpstr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khalil</dc:creator>
  <cp:lastModifiedBy>kashif khalil</cp:lastModifiedBy>
  <dcterms:created xsi:type="dcterms:W3CDTF">2025-12-05T05:35:06Z</dcterms:created>
  <dcterms:modified xsi:type="dcterms:W3CDTF">2025-12-06T04:50:42Z</dcterms:modified>
</cp:coreProperties>
</file>